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_07\Desktop\"/>
    </mc:Choice>
  </mc:AlternateContent>
  <xr:revisionPtr revIDLastSave="0" documentId="13_ncr:1_{7356C4CE-DEDA-417B-BCA7-DB15C6E932AE}" xr6:coauthVersionLast="47" xr6:coauthVersionMax="47" xr10:uidLastSave="{00000000-0000-0000-0000-000000000000}"/>
  <bookViews>
    <workbookView xWindow="-120" yWindow="-120" windowWidth="29040" windowHeight="15720" tabRatio="500" activeTab="5" xr2:uid="{00000000-000D-0000-FFFF-FFFF00000000}"/>
  </bookViews>
  <sheets>
    <sheet name="Avril 2026" sheetId="1" r:id="rId1"/>
    <sheet name="Mai 2026" sheetId="2" r:id="rId2"/>
    <sheet name="juin 2026 " sheetId="3" r:id="rId3"/>
    <sheet name="juillet 2026" sheetId="4" r:id="rId4"/>
    <sheet name="Aout2026" sheetId="5" r:id="rId5"/>
    <sheet name="Septembre 2026" sheetId="6" r:id="rId6"/>
  </sheets>
  <definedNames>
    <definedName name="_xlnm.Print_Titles" localSheetId="5">'Septembre 2026'!$14:$14</definedName>
    <definedName name="_xlnm.Print_Area" localSheetId="5">'Septembre 2026'!$B$28:$N$28</definedName>
  </definedNames>
  <calcPr calcId="191029"/>
</workbook>
</file>

<file path=xl/calcChain.xml><?xml version="1.0" encoding="utf-8"?>
<calcChain xmlns="http://schemas.openxmlformats.org/spreadsheetml/2006/main">
  <c r="M30" i="6" l="1"/>
  <c r="J30" i="6"/>
  <c r="K30" i="6"/>
  <c r="L30" i="6"/>
  <c r="K29" i="6"/>
  <c r="M29" i="6" s="1"/>
  <c r="L29" i="6"/>
  <c r="J29" i="6"/>
  <c r="AD19" i="6" l="1"/>
  <c r="AD16" i="6"/>
  <c r="AD17" i="6"/>
  <c r="AD18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D33" i="6"/>
  <c r="AD34" i="6"/>
  <c r="AD35" i="6"/>
  <c r="AD36" i="6"/>
  <c r="AD37" i="6"/>
  <c r="AD38" i="6"/>
  <c r="AD39" i="6"/>
  <c r="AD40" i="6"/>
  <c r="AD41" i="6"/>
  <c r="AD42" i="6"/>
  <c r="AD43" i="6"/>
  <c r="AD44" i="6"/>
  <c r="AD15" i="6"/>
  <c r="L28" i="6"/>
  <c r="J28" i="6"/>
  <c r="L27" i="6"/>
  <c r="J27" i="6"/>
  <c r="L26" i="6"/>
  <c r="N25" i="6"/>
  <c r="K25" i="6" s="1"/>
  <c r="N26" i="6"/>
  <c r="K26" i="6" s="1"/>
  <c r="N27" i="6"/>
  <c r="K27" i="6" s="1"/>
  <c r="N28" i="6"/>
  <c r="K28" i="6" s="1"/>
  <c r="N29" i="6"/>
  <c r="N30" i="6"/>
  <c r="N31" i="6"/>
  <c r="J25" i="6"/>
  <c r="J26" i="6"/>
  <c r="L25" i="6"/>
  <c r="L24" i="6"/>
  <c r="J24" i="6"/>
  <c r="M28" i="6" l="1"/>
  <c r="M27" i="6"/>
  <c r="M26" i="6"/>
  <c r="M25" i="6"/>
  <c r="L23" i="6" l="1"/>
  <c r="J23" i="6"/>
  <c r="L22" i="6"/>
  <c r="J22" i="6"/>
  <c r="L21" i="6"/>
  <c r="J21" i="6"/>
  <c r="J20" i="6"/>
  <c r="L20" i="6"/>
  <c r="J19" i="6"/>
  <c r="N19" i="6"/>
  <c r="K19" i="6" s="1"/>
  <c r="N20" i="6"/>
  <c r="K20" i="6" s="1"/>
  <c r="N21" i="6"/>
  <c r="K21" i="6" s="1"/>
  <c r="N22" i="6"/>
  <c r="K22" i="6" s="1"/>
  <c r="N23" i="6"/>
  <c r="K23" i="6" s="1"/>
  <c r="N24" i="6"/>
  <c r="K24" i="6" s="1"/>
  <c r="M24" i="6" s="1"/>
  <c r="L19" i="6"/>
  <c r="N18" i="6"/>
  <c r="K18" i="6" s="1"/>
  <c r="L18" i="6"/>
  <c r="J18" i="6"/>
  <c r="N17" i="6"/>
  <c r="K17" i="6" s="1"/>
  <c r="L17" i="6"/>
  <c r="J17" i="6"/>
  <c r="L16" i="6"/>
  <c r="N16" i="6"/>
  <c r="K16" i="6" s="1"/>
  <c r="J16" i="6"/>
  <c r="M23" i="6" l="1"/>
  <c r="M22" i="6"/>
  <c r="M21" i="6"/>
  <c r="M16" i="6"/>
  <c r="M20" i="6"/>
  <c r="M18" i="6"/>
  <c r="M19" i="6"/>
  <c r="Y7" i="6" s="1"/>
  <c r="M17" i="6"/>
  <c r="N15" i="6"/>
  <c r="K15" i="6" s="1"/>
  <c r="G6" i="6" s="1"/>
  <c r="L15" i="6"/>
  <c r="H6" i="6" s="1"/>
  <c r="J15" i="6"/>
  <c r="W6" i="6" s="1"/>
  <c r="P74" i="6"/>
  <c r="P73" i="6"/>
  <c r="P72" i="6"/>
  <c r="P71" i="6"/>
  <c r="P70" i="6"/>
  <c r="Q70" i="6" s="1"/>
  <c r="N65" i="6"/>
  <c r="N64" i="6"/>
  <c r="N63" i="6"/>
  <c r="N62" i="6"/>
  <c r="N61" i="6"/>
  <c r="N60" i="6"/>
  <c r="N59" i="6"/>
  <c r="X7" i="6"/>
  <c r="X30" i="6"/>
  <c r="W30" i="6"/>
  <c r="X29" i="6"/>
  <c r="W29" i="6"/>
  <c r="X28" i="6"/>
  <c r="W28" i="6"/>
  <c r="X27" i="6"/>
  <c r="W27" i="6"/>
  <c r="X26" i="6"/>
  <c r="Y26" i="6" s="1"/>
  <c r="W26" i="6"/>
  <c r="P20" i="6"/>
  <c r="P16" i="6"/>
  <c r="Z10" i="6"/>
  <c r="W10" i="6"/>
  <c r="V10" i="6"/>
  <c r="R10" i="6"/>
  <c r="Z9" i="6"/>
  <c r="Y9" i="6"/>
  <c r="X9" i="6"/>
  <c r="W9" i="6"/>
  <c r="V9" i="6"/>
  <c r="R9" i="6"/>
  <c r="Z8" i="6"/>
  <c r="X8" i="6"/>
  <c r="W8" i="6"/>
  <c r="V8" i="6"/>
  <c r="R8" i="6"/>
  <c r="Z7" i="6"/>
  <c r="W7" i="6"/>
  <c r="V7" i="6"/>
  <c r="R7" i="6"/>
  <c r="Z6" i="6"/>
  <c r="V6" i="6"/>
  <c r="R6" i="6"/>
  <c r="L6" i="6"/>
  <c r="K6" i="6"/>
  <c r="D6" i="6"/>
  <c r="L58" i="5"/>
  <c r="J58" i="5"/>
  <c r="J57" i="5"/>
  <c r="Q73" i="6" l="1"/>
  <c r="Y29" i="6"/>
  <c r="Y28" i="6"/>
  <c r="M6" i="6"/>
  <c r="F6" i="6"/>
  <c r="Q71" i="6"/>
  <c r="Y27" i="6"/>
  <c r="Q74" i="6"/>
  <c r="Y30" i="6"/>
  <c r="M15" i="6"/>
  <c r="Y6" i="6" s="1"/>
  <c r="S8" i="6"/>
  <c r="Q72" i="6"/>
  <c r="S6" i="6"/>
  <c r="S7" i="6"/>
  <c r="S9" i="6"/>
  <c r="S10" i="6"/>
  <c r="Y10" i="6"/>
  <c r="X10" i="6"/>
  <c r="X6" i="6"/>
  <c r="P22" i="6"/>
  <c r="Y8" i="6"/>
  <c r="L57" i="5"/>
  <c r="L56" i="5"/>
  <c r="J56" i="5"/>
  <c r="P26" i="6" l="1"/>
  <c r="P27" i="6"/>
  <c r="R26" i="6"/>
  <c r="R30" i="6"/>
  <c r="P30" i="6"/>
  <c r="P28" i="6"/>
  <c r="R28" i="6"/>
  <c r="R29" i="6"/>
  <c r="P29" i="6"/>
  <c r="R27" i="6"/>
  <c r="I6" i="6"/>
  <c r="P18" i="6"/>
  <c r="L55" i="5"/>
  <c r="J55" i="5"/>
  <c r="L54" i="5"/>
  <c r="J54" i="5"/>
  <c r="L53" i="5" l="1"/>
  <c r="J53" i="5"/>
  <c r="P74" i="5" l="1"/>
  <c r="P73" i="5"/>
  <c r="P72" i="5"/>
  <c r="P71" i="5"/>
  <c r="P70" i="5"/>
  <c r="Q70" i="5" s="1"/>
  <c r="N65" i="5"/>
  <c r="N64" i="5"/>
  <c r="N63" i="5"/>
  <c r="N62" i="5"/>
  <c r="N61" i="5"/>
  <c r="N60" i="5"/>
  <c r="N59" i="5"/>
  <c r="N58" i="5"/>
  <c r="K58" i="5" s="1"/>
  <c r="M58" i="5" s="1"/>
  <c r="N57" i="5"/>
  <c r="K57" i="5" s="1"/>
  <c r="M57" i="5" s="1"/>
  <c r="N56" i="5"/>
  <c r="K56" i="5" s="1"/>
  <c r="M56" i="5" s="1"/>
  <c r="N55" i="5"/>
  <c r="K55" i="5" s="1"/>
  <c r="M55" i="5" s="1"/>
  <c r="N54" i="5"/>
  <c r="K54" i="5" s="1"/>
  <c r="M54" i="5" s="1"/>
  <c r="N53" i="5"/>
  <c r="K53" i="5" s="1"/>
  <c r="M53" i="5" s="1"/>
  <c r="N52" i="5"/>
  <c r="K52" i="5" s="1"/>
  <c r="L52" i="5"/>
  <c r="J52" i="5"/>
  <c r="N51" i="5"/>
  <c r="L51" i="5"/>
  <c r="J51" i="5"/>
  <c r="W10" i="5" s="1"/>
  <c r="N50" i="5"/>
  <c r="K50" i="5" s="1"/>
  <c r="L50" i="5"/>
  <c r="J50" i="5"/>
  <c r="N49" i="5"/>
  <c r="K49" i="5" s="1"/>
  <c r="L49" i="5"/>
  <c r="J49" i="5"/>
  <c r="N48" i="5"/>
  <c r="L48" i="5"/>
  <c r="J48" i="5"/>
  <c r="N47" i="5"/>
  <c r="K47" i="5" s="1"/>
  <c r="L47" i="5"/>
  <c r="J47" i="5"/>
  <c r="N46" i="5"/>
  <c r="Z9" i="5" s="1"/>
  <c r="L46" i="5"/>
  <c r="K46" i="5"/>
  <c r="X9" i="5" s="1"/>
  <c r="J46" i="5"/>
  <c r="N45" i="5"/>
  <c r="L45" i="5"/>
  <c r="K45" i="5"/>
  <c r="J45" i="5"/>
  <c r="N44" i="5"/>
  <c r="L44" i="5"/>
  <c r="K44" i="5"/>
  <c r="J44" i="5"/>
  <c r="N43" i="5"/>
  <c r="L43" i="5"/>
  <c r="K43" i="5"/>
  <c r="J43" i="5"/>
  <c r="N42" i="5"/>
  <c r="L42" i="5"/>
  <c r="K42" i="5"/>
  <c r="J42" i="5"/>
  <c r="N41" i="5"/>
  <c r="L41" i="5"/>
  <c r="K41" i="5"/>
  <c r="J41" i="5"/>
  <c r="N40" i="5"/>
  <c r="L40" i="5"/>
  <c r="K40" i="5"/>
  <c r="J40" i="5"/>
  <c r="N39" i="5"/>
  <c r="L39" i="5"/>
  <c r="K39" i="5"/>
  <c r="J39" i="5"/>
  <c r="N38" i="5"/>
  <c r="L38" i="5"/>
  <c r="K38" i="5"/>
  <c r="J38" i="5"/>
  <c r="N37" i="5"/>
  <c r="L37" i="5"/>
  <c r="K37" i="5"/>
  <c r="J37" i="5"/>
  <c r="N36" i="5"/>
  <c r="L36" i="5"/>
  <c r="K36" i="5"/>
  <c r="J36" i="5"/>
  <c r="N35" i="5"/>
  <c r="L35" i="5"/>
  <c r="K35" i="5"/>
  <c r="J35" i="5"/>
  <c r="N34" i="5"/>
  <c r="L34" i="5"/>
  <c r="K34" i="5"/>
  <c r="J34" i="5"/>
  <c r="N33" i="5"/>
  <c r="L33" i="5"/>
  <c r="K33" i="5"/>
  <c r="J33" i="5"/>
  <c r="N32" i="5"/>
  <c r="L32" i="5"/>
  <c r="K32" i="5"/>
  <c r="J32" i="5"/>
  <c r="N31" i="5"/>
  <c r="L31" i="5"/>
  <c r="K31" i="5"/>
  <c r="J31" i="5"/>
  <c r="X30" i="5"/>
  <c r="W30" i="5"/>
  <c r="N30" i="5"/>
  <c r="L30" i="5"/>
  <c r="K30" i="5"/>
  <c r="J30" i="5"/>
  <c r="X29" i="5"/>
  <c r="W29" i="5"/>
  <c r="N29" i="5"/>
  <c r="L29" i="5"/>
  <c r="K29" i="5"/>
  <c r="J29" i="5"/>
  <c r="X28" i="5"/>
  <c r="W28" i="5"/>
  <c r="N28" i="5"/>
  <c r="L28" i="5"/>
  <c r="K28" i="5"/>
  <c r="J28" i="5"/>
  <c r="X27" i="5"/>
  <c r="W27" i="5"/>
  <c r="N27" i="5"/>
  <c r="L27" i="5"/>
  <c r="K27" i="5"/>
  <c r="J27" i="5"/>
  <c r="X26" i="5"/>
  <c r="Y26" i="5" s="1"/>
  <c r="W26" i="5"/>
  <c r="N26" i="5"/>
  <c r="L26" i="5"/>
  <c r="K26" i="5"/>
  <c r="J26" i="5"/>
  <c r="N25" i="5"/>
  <c r="L25" i="5"/>
  <c r="K25" i="5"/>
  <c r="J25" i="5"/>
  <c r="N24" i="5"/>
  <c r="L24" i="5"/>
  <c r="K24" i="5"/>
  <c r="J24" i="5"/>
  <c r="N23" i="5"/>
  <c r="L23" i="5"/>
  <c r="K23" i="5"/>
  <c r="J23" i="5"/>
  <c r="N22" i="5"/>
  <c r="L22" i="5"/>
  <c r="K22" i="5"/>
  <c r="J22" i="5"/>
  <c r="N21" i="5"/>
  <c r="L21" i="5"/>
  <c r="K21" i="5"/>
  <c r="J21" i="5"/>
  <c r="N20" i="5"/>
  <c r="L20" i="5"/>
  <c r="K20" i="5"/>
  <c r="J20" i="5"/>
  <c r="N19" i="5"/>
  <c r="L19" i="5"/>
  <c r="K19" i="5"/>
  <c r="J19" i="5"/>
  <c r="N18" i="5"/>
  <c r="L18" i="5"/>
  <c r="K18" i="5"/>
  <c r="J18" i="5"/>
  <c r="N17" i="5"/>
  <c r="L17" i="5"/>
  <c r="K17" i="5"/>
  <c r="J17" i="5"/>
  <c r="P16" i="5"/>
  <c r="N16" i="5"/>
  <c r="L16" i="5"/>
  <c r="K16" i="5"/>
  <c r="J16" i="5"/>
  <c r="N15" i="5"/>
  <c r="L15" i="5"/>
  <c r="K15" i="5"/>
  <c r="J15" i="5"/>
  <c r="V10" i="5"/>
  <c r="R10" i="5"/>
  <c r="V9" i="5"/>
  <c r="R9" i="5"/>
  <c r="W8" i="5"/>
  <c r="V8" i="5"/>
  <c r="R8" i="5"/>
  <c r="W7" i="5"/>
  <c r="V7" i="5"/>
  <c r="R7" i="5"/>
  <c r="W6" i="5"/>
  <c r="V6" i="5"/>
  <c r="R6" i="5"/>
  <c r="L6" i="5"/>
  <c r="K6" i="5"/>
  <c r="D6" i="5"/>
  <c r="N61" i="4"/>
  <c r="L61" i="4"/>
  <c r="K61" i="4"/>
  <c r="J61" i="4"/>
  <c r="N60" i="4"/>
  <c r="L60" i="4"/>
  <c r="K60" i="4"/>
  <c r="J60" i="4"/>
  <c r="N59" i="4"/>
  <c r="L59" i="4"/>
  <c r="K59" i="4"/>
  <c r="J59" i="4"/>
  <c r="N58" i="4"/>
  <c r="L58" i="4"/>
  <c r="K58" i="4"/>
  <c r="J58" i="4"/>
  <c r="N57" i="4"/>
  <c r="L57" i="4"/>
  <c r="K57" i="4"/>
  <c r="J57" i="4"/>
  <c r="N56" i="4"/>
  <c r="L56" i="4"/>
  <c r="K56" i="4"/>
  <c r="J56" i="4"/>
  <c r="N55" i="4"/>
  <c r="L55" i="4"/>
  <c r="K55" i="4"/>
  <c r="J55" i="4"/>
  <c r="N54" i="4"/>
  <c r="L54" i="4"/>
  <c r="K54" i="4"/>
  <c r="J54" i="4"/>
  <c r="N53" i="4"/>
  <c r="L53" i="4"/>
  <c r="K53" i="4"/>
  <c r="J53" i="4"/>
  <c r="N52" i="4"/>
  <c r="L52" i="4"/>
  <c r="K52" i="4"/>
  <c r="J52" i="4"/>
  <c r="N51" i="4"/>
  <c r="L51" i="4"/>
  <c r="K51" i="4"/>
  <c r="J51" i="4"/>
  <c r="N50" i="4"/>
  <c r="L50" i="4"/>
  <c r="K50" i="4"/>
  <c r="J50" i="4"/>
  <c r="N49" i="4"/>
  <c r="L49" i="4"/>
  <c r="K49" i="4"/>
  <c r="J49" i="4"/>
  <c r="N48" i="4"/>
  <c r="L48" i="4"/>
  <c r="K48" i="4"/>
  <c r="J48" i="4"/>
  <c r="N47" i="4"/>
  <c r="L47" i="4"/>
  <c r="K47" i="4"/>
  <c r="J47" i="4"/>
  <c r="N46" i="4"/>
  <c r="L46" i="4"/>
  <c r="K46" i="4"/>
  <c r="J46" i="4"/>
  <c r="N45" i="4"/>
  <c r="L45" i="4"/>
  <c r="K45" i="4"/>
  <c r="J45" i="4"/>
  <c r="N44" i="4"/>
  <c r="L44" i="4"/>
  <c r="K44" i="4"/>
  <c r="J44" i="4"/>
  <c r="N43" i="4"/>
  <c r="L43" i="4"/>
  <c r="K43" i="4"/>
  <c r="J43" i="4"/>
  <c r="N42" i="4"/>
  <c r="L42" i="4"/>
  <c r="K42" i="4"/>
  <c r="J42" i="4"/>
  <c r="N41" i="4"/>
  <c r="L41" i="4"/>
  <c r="K41" i="4"/>
  <c r="J41" i="4"/>
  <c r="N40" i="4"/>
  <c r="L40" i="4"/>
  <c r="K40" i="4"/>
  <c r="J40" i="4"/>
  <c r="N39" i="4"/>
  <c r="L39" i="4"/>
  <c r="K39" i="4"/>
  <c r="J39" i="4"/>
  <c r="N38" i="4"/>
  <c r="L38" i="4"/>
  <c r="K38" i="4"/>
  <c r="J38" i="4"/>
  <c r="N37" i="4"/>
  <c r="L37" i="4"/>
  <c r="K37" i="4"/>
  <c r="J37" i="4"/>
  <c r="N36" i="4"/>
  <c r="L36" i="4"/>
  <c r="K36" i="4"/>
  <c r="J36" i="4"/>
  <c r="N35" i="4"/>
  <c r="L35" i="4"/>
  <c r="K35" i="4"/>
  <c r="J35" i="4"/>
  <c r="N34" i="4"/>
  <c r="L34" i="4"/>
  <c r="K34" i="4"/>
  <c r="J34" i="4"/>
  <c r="N33" i="4"/>
  <c r="L33" i="4"/>
  <c r="K33" i="4"/>
  <c r="J33" i="4"/>
  <c r="N32" i="4"/>
  <c r="L32" i="4"/>
  <c r="K32" i="4"/>
  <c r="J32" i="4"/>
  <c r="N31" i="4"/>
  <c r="L31" i="4"/>
  <c r="K31" i="4"/>
  <c r="J31" i="4"/>
  <c r="N30" i="4"/>
  <c r="L30" i="4"/>
  <c r="K30" i="4"/>
  <c r="J30" i="4"/>
  <c r="N29" i="4"/>
  <c r="L29" i="4"/>
  <c r="K29" i="4"/>
  <c r="J29" i="4"/>
  <c r="N28" i="4"/>
  <c r="L28" i="4"/>
  <c r="K28" i="4"/>
  <c r="J28" i="4"/>
  <c r="N27" i="4"/>
  <c r="L27" i="4"/>
  <c r="K27" i="4"/>
  <c r="J27" i="4"/>
  <c r="N26" i="4"/>
  <c r="L26" i="4"/>
  <c r="K26" i="4"/>
  <c r="J26" i="4"/>
  <c r="N25" i="4"/>
  <c r="L25" i="4"/>
  <c r="K25" i="4"/>
  <c r="J25" i="4"/>
  <c r="N24" i="4"/>
  <c r="L24" i="4"/>
  <c r="K24" i="4"/>
  <c r="J24" i="4"/>
  <c r="N23" i="4"/>
  <c r="L23" i="4"/>
  <c r="K23" i="4"/>
  <c r="J23" i="4"/>
  <c r="N22" i="4"/>
  <c r="L22" i="4"/>
  <c r="K22" i="4"/>
  <c r="J22" i="4"/>
  <c r="N21" i="4"/>
  <c r="L21" i="4"/>
  <c r="K21" i="4"/>
  <c r="J21" i="4"/>
  <c r="N20" i="4"/>
  <c r="L20" i="4"/>
  <c r="K20" i="4"/>
  <c r="J20" i="4"/>
  <c r="N19" i="4"/>
  <c r="L19" i="4"/>
  <c r="K19" i="4"/>
  <c r="J19" i="4"/>
  <c r="N18" i="4"/>
  <c r="L18" i="4"/>
  <c r="K18" i="4"/>
  <c r="J18" i="4"/>
  <c r="N17" i="4"/>
  <c r="L17" i="4"/>
  <c r="K17" i="4"/>
  <c r="J17" i="4"/>
  <c r="N16" i="4"/>
  <c r="L16" i="4"/>
  <c r="K16" i="4"/>
  <c r="J16" i="4"/>
  <c r="N15" i="4"/>
  <c r="L15" i="4"/>
  <c r="K15" i="4"/>
  <c r="J15" i="4"/>
  <c r="R10" i="4"/>
  <c r="R9" i="4"/>
  <c r="R8" i="4"/>
  <c r="R7" i="4"/>
  <c r="R6" i="4"/>
  <c r="L6" i="4"/>
  <c r="K6" i="4"/>
  <c r="D6" i="4"/>
  <c r="N49" i="3"/>
  <c r="L49" i="3"/>
  <c r="K49" i="3"/>
  <c r="J49" i="3"/>
  <c r="N48" i="3"/>
  <c r="L48" i="3"/>
  <c r="K48" i="3"/>
  <c r="J48" i="3"/>
  <c r="N47" i="3"/>
  <c r="L47" i="3"/>
  <c r="K47" i="3"/>
  <c r="J47" i="3"/>
  <c r="N46" i="3"/>
  <c r="L46" i="3"/>
  <c r="K46" i="3"/>
  <c r="J46" i="3"/>
  <c r="N45" i="3"/>
  <c r="L45" i="3"/>
  <c r="K45" i="3"/>
  <c r="J45" i="3"/>
  <c r="N44" i="3"/>
  <c r="L44" i="3"/>
  <c r="K44" i="3"/>
  <c r="J44" i="3"/>
  <c r="N43" i="3"/>
  <c r="L43" i="3"/>
  <c r="K43" i="3"/>
  <c r="J43" i="3"/>
  <c r="N42" i="3"/>
  <c r="L42" i="3"/>
  <c r="K42" i="3"/>
  <c r="J42" i="3"/>
  <c r="N41" i="3"/>
  <c r="L41" i="3"/>
  <c r="K41" i="3"/>
  <c r="J41" i="3"/>
  <c r="N40" i="3"/>
  <c r="L40" i="3"/>
  <c r="K40" i="3"/>
  <c r="J40" i="3"/>
  <c r="N39" i="3"/>
  <c r="K39" i="3"/>
  <c r="J39" i="3"/>
  <c r="N38" i="3"/>
  <c r="L38" i="3"/>
  <c r="K38" i="3"/>
  <c r="J38" i="3"/>
  <c r="N37" i="3"/>
  <c r="L37" i="3"/>
  <c r="K37" i="3"/>
  <c r="J37" i="3"/>
  <c r="N36" i="3"/>
  <c r="K36" i="3"/>
  <c r="J36" i="3"/>
  <c r="N35" i="3"/>
  <c r="L35" i="3"/>
  <c r="K35" i="3"/>
  <c r="J35" i="3"/>
  <c r="N34" i="3"/>
  <c r="L34" i="3"/>
  <c r="K34" i="3"/>
  <c r="J34" i="3"/>
  <c r="N33" i="3"/>
  <c r="L33" i="3"/>
  <c r="K33" i="3"/>
  <c r="J33" i="3"/>
  <c r="N32" i="3"/>
  <c r="K32" i="3"/>
  <c r="J32" i="3"/>
  <c r="N31" i="3"/>
  <c r="K31" i="3"/>
  <c r="J31" i="3"/>
  <c r="N30" i="3"/>
  <c r="L30" i="3"/>
  <c r="K30" i="3"/>
  <c r="J30" i="3"/>
  <c r="N29" i="3"/>
  <c r="L29" i="3"/>
  <c r="K29" i="3"/>
  <c r="J29" i="3"/>
  <c r="N28" i="3"/>
  <c r="L28" i="3"/>
  <c r="K28" i="3"/>
  <c r="J28" i="3"/>
  <c r="N27" i="3"/>
  <c r="L27" i="3"/>
  <c r="K27" i="3"/>
  <c r="J27" i="3"/>
  <c r="N26" i="3"/>
  <c r="L26" i="3"/>
  <c r="K26" i="3"/>
  <c r="J26" i="3"/>
  <c r="N25" i="3"/>
  <c r="L25" i="3"/>
  <c r="K25" i="3"/>
  <c r="J25" i="3"/>
  <c r="N24" i="3"/>
  <c r="L24" i="3"/>
  <c r="K24" i="3"/>
  <c r="J24" i="3"/>
  <c r="N23" i="3"/>
  <c r="L23" i="3"/>
  <c r="K23" i="3"/>
  <c r="J23" i="3"/>
  <c r="N22" i="3"/>
  <c r="K22" i="3"/>
  <c r="J22" i="3"/>
  <c r="N21" i="3"/>
  <c r="K21" i="3"/>
  <c r="J21" i="3"/>
  <c r="N20" i="3"/>
  <c r="L20" i="3"/>
  <c r="K20" i="3"/>
  <c r="J20" i="3"/>
  <c r="N19" i="3"/>
  <c r="L19" i="3"/>
  <c r="K19" i="3"/>
  <c r="J19" i="3"/>
  <c r="N18" i="3"/>
  <c r="L18" i="3"/>
  <c r="K18" i="3"/>
  <c r="J18" i="3"/>
  <c r="N17" i="3"/>
  <c r="L17" i="3"/>
  <c r="K17" i="3"/>
  <c r="J17" i="3"/>
  <c r="N16" i="3"/>
  <c r="K16" i="3"/>
  <c r="J16" i="3"/>
  <c r="N15" i="3"/>
  <c r="K15" i="3"/>
  <c r="J15" i="3"/>
  <c r="R9" i="3"/>
  <c r="R8" i="3"/>
  <c r="R7" i="3"/>
  <c r="R6" i="3"/>
  <c r="L6" i="3"/>
  <c r="K6" i="3"/>
  <c r="D6" i="3"/>
  <c r="N42" i="2"/>
  <c r="L42" i="2"/>
  <c r="K42" i="2"/>
  <c r="J42" i="2"/>
  <c r="N41" i="2"/>
  <c r="L41" i="2"/>
  <c r="K41" i="2"/>
  <c r="J41" i="2"/>
  <c r="N40" i="2"/>
  <c r="L40" i="2"/>
  <c r="K40" i="2"/>
  <c r="J40" i="2"/>
  <c r="N39" i="2"/>
  <c r="L39" i="2"/>
  <c r="K39" i="2"/>
  <c r="J39" i="2"/>
  <c r="N38" i="2"/>
  <c r="L38" i="2"/>
  <c r="K38" i="2"/>
  <c r="J38" i="2"/>
  <c r="N37" i="2"/>
  <c r="L37" i="2"/>
  <c r="K37" i="2"/>
  <c r="J37" i="2"/>
  <c r="N36" i="2"/>
  <c r="L36" i="2"/>
  <c r="K36" i="2"/>
  <c r="J36" i="2"/>
  <c r="N35" i="2"/>
  <c r="L35" i="2"/>
  <c r="K35" i="2"/>
  <c r="J35" i="2"/>
  <c r="N34" i="2"/>
  <c r="L34" i="2"/>
  <c r="K34" i="2"/>
  <c r="J34" i="2"/>
  <c r="N33" i="2"/>
  <c r="L33" i="2"/>
  <c r="K33" i="2"/>
  <c r="J33" i="2"/>
  <c r="N32" i="2"/>
  <c r="L32" i="2"/>
  <c r="K32" i="2"/>
  <c r="J32" i="2"/>
  <c r="N31" i="2"/>
  <c r="L31" i="2"/>
  <c r="K31" i="2"/>
  <c r="J31" i="2"/>
  <c r="N30" i="2"/>
  <c r="L30" i="2"/>
  <c r="K30" i="2"/>
  <c r="J30" i="2"/>
  <c r="N29" i="2"/>
  <c r="L29" i="2"/>
  <c r="K29" i="2"/>
  <c r="J29" i="2"/>
  <c r="N28" i="2"/>
  <c r="L28" i="2"/>
  <c r="K28" i="2"/>
  <c r="J28" i="2"/>
  <c r="N27" i="2"/>
  <c r="L27" i="2"/>
  <c r="K27" i="2"/>
  <c r="J27" i="2"/>
  <c r="N26" i="2"/>
  <c r="L26" i="2"/>
  <c r="K26" i="2"/>
  <c r="J26" i="2"/>
  <c r="N25" i="2"/>
  <c r="L25" i="2"/>
  <c r="K25" i="2"/>
  <c r="J25" i="2"/>
  <c r="N24" i="2"/>
  <c r="L24" i="2"/>
  <c r="K24" i="2"/>
  <c r="J24" i="2"/>
  <c r="N23" i="2"/>
  <c r="L23" i="2"/>
  <c r="K23" i="2"/>
  <c r="J23" i="2"/>
  <c r="N22" i="2"/>
  <c r="L22" i="2"/>
  <c r="K22" i="2"/>
  <c r="J22" i="2"/>
  <c r="N21" i="2"/>
  <c r="L21" i="2"/>
  <c r="K21" i="2"/>
  <c r="J21" i="2"/>
  <c r="N20" i="2"/>
  <c r="L20" i="2"/>
  <c r="K20" i="2"/>
  <c r="J20" i="2"/>
  <c r="N19" i="2"/>
  <c r="L19" i="2"/>
  <c r="K19" i="2"/>
  <c r="J19" i="2"/>
  <c r="N18" i="2"/>
  <c r="L18" i="2"/>
  <c r="K18" i="2"/>
  <c r="J18" i="2"/>
  <c r="N17" i="2"/>
  <c r="L17" i="2"/>
  <c r="K17" i="2"/>
  <c r="J17" i="2"/>
  <c r="N16" i="2"/>
  <c r="K16" i="2"/>
  <c r="J16" i="2"/>
  <c r="N15" i="2"/>
  <c r="K15" i="2"/>
  <c r="J15" i="2"/>
  <c r="R9" i="2"/>
  <c r="R8" i="2"/>
  <c r="R7" i="2"/>
  <c r="R6" i="2"/>
  <c r="L6" i="2"/>
  <c r="K6" i="2"/>
  <c r="D6" i="2"/>
  <c r="N43" i="1"/>
  <c r="L43" i="1"/>
  <c r="K43" i="1"/>
  <c r="J43" i="1"/>
  <c r="N42" i="1"/>
  <c r="L42" i="1"/>
  <c r="K42" i="1"/>
  <c r="J42" i="1"/>
  <c r="N41" i="1"/>
  <c r="L41" i="1"/>
  <c r="K41" i="1"/>
  <c r="J41" i="1"/>
  <c r="N40" i="1"/>
  <c r="L40" i="1"/>
  <c r="K40" i="1"/>
  <c r="J40" i="1"/>
  <c r="N39" i="1"/>
  <c r="L39" i="1"/>
  <c r="K39" i="1"/>
  <c r="J39" i="1"/>
  <c r="N38" i="1"/>
  <c r="L38" i="1"/>
  <c r="K38" i="1"/>
  <c r="J38" i="1"/>
  <c r="N37" i="1"/>
  <c r="L37" i="1"/>
  <c r="K37" i="1"/>
  <c r="J37" i="1"/>
  <c r="N36" i="1"/>
  <c r="L36" i="1"/>
  <c r="K36" i="1"/>
  <c r="J36" i="1"/>
  <c r="N35" i="1"/>
  <c r="L35" i="1"/>
  <c r="K35" i="1"/>
  <c r="J35" i="1"/>
  <c r="N34" i="1"/>
  <c r="L34" i="1"/>
  <c r="K34" i="1"/>
  <c r="J34" i="1"/>
  <c r="N33" i="1"/>
  <c r="L33" i="1"/>
  <c r="K33" i="1"/>
  <c r="J33" i="1"/>
  <c r="N32" i="1"/>
  <c r="L32" i="1"/>
  <c r="K32" i="1"/>
  <c r="J32" i="1"/>
  <c r="N31" i="1"/>
  <c r="L31" i="1"/>
  <c r="K31" i="1"/>
  <c r="J31" i="1"/>
  <c r="N30" i="1"/>
  <c r="L30" i="1"/>
  <c r="K30" i="1"/>
  <c r="J30" i="1"/>
  <c r="N29" i="1"/>
  <c r="L29" i="1"/>
  <c r="K29" i="1"/>
  <c r="J29" i="1"/>
  <c r="N28" i="1"/>
  <c r="L28" i="1"/>
  <c r="K28" i="1"/>
  <c r="J28" i="1"/>
  <c r="N27" i="1"/>
  <c r="L27" i="1"/>
  <c r="K27" i="1"/>
  <c r="J27" i="1"/>
  <c r="N26" i="1"/>
  <c r="L26" i="1"/>
  <c r="K26" i="1"/>
  <c r="J26" i="1"/>
  <c r="N25" i="1"/>
  <c r="L25" i="1"/>
  <c r="K25" i="1"/>
  <c r="J25" i="1"/>
  <c r="N24" i="1"/>
  <c r="L24" i="1"/>
  <c r="K24" i="1"/>
  <c r="J24" i="1"/>
  <c r="N23" i="1"/>
  <c r="L23" i="1"/>
  <c r="K23" i="1"/>
  <c r="J23" i="1"/>
  <c r="N22" i="1"/>
  <c r="L22" i="1"/>
  <c r="K22" i="1"/>
  <c r="J22" i="1"/>
  <c r="N21" i="1"/>
  <c r="L21" i="1"/>
  <c r="K21" i="1"/>
  <c r="J21" i="1"/>
  <c r="N20" i="1"/>
  <c r="L20" i="1"/>
  <c r="K20" i="1"/>
  <c r="J20" i="1"/>
  <c r="N19" i="1"/>
  <c r="L19" i="1"/>
  <c r="K19" i="1"/>
  <c r="J19" i="1"/>
  <c r="N18" i="1"/>
  <c r="L18" i="1"/>
  <c r="K18" i="1"/>
  <c r="J18" i="1"/>
  <c r="N17" i="1"/>
  <c r="L17" i="1"/>
  <c r="K17" i="1"/>
  <c r="J17" i="1"/>
  <c r="N16" i="1"/>
  <c r="L16" i="1"/>
  <c r="K16" i="1"/>
  <c r="J16" i="1"/>
  <c r="R9" i="1"/>
  <c r="R8" i="1"/>
  <c r="R7" i="1"/>
  <c r="R6" i="1"/>
  <c r="L6" i="1"/>
  <c r="K6" i="1"/>
  <c r="D6" i="1"/>
  <c r="M24" i="5" l="1"/>
  <c r="X7" i="5"/>
  <c r="Z7" i="5"/>
  <c r="M37" i="5"/>
  <c r="M41" i="5"/>
  <c r="Y7" i="5" s="1"/>
  <c r="M45" i="5"/>
  <c r="M36" i="2"/>
  <c r="M16" i="2"/>
  <c r="M19" i="3"/>
  <c r="M36" i="3"/>
  <c r="Z8" i="5"/>
  <c r="M16" i="1"/>
  <c r="M20" i="1"/>
  <c r="M24" i="1"/>
  <c r="M32" i="1"/>
  <c r="M36" i="1"/>
  <c r="M40" i="1"/>
  <c r="M31" i="1"/>
  <c r="M35" i="1"/>
  <c r="M39" i="1"/>
  <c r="M43" i="1"/>
  <c r="M24" i="3"/>
  <c r="M28" i="3"/>
  <c r="M20" i="4"/>
  <c r="M24" i="4"/>
  <c r="M36" i="4"/>
  <c r="M40" i="4"/>
  <c r="M44" i="4"/>
  <c r="M48" i="4"/>
  <c r="M52" i="4"/>
  <c r="M21" i="2"/>
  <c r="M35" i="5"/>
  <c r="M20" i="3"/>
  <c r="M49" i="5"/>
  <c r="M17" i="3"/>
  <c r="M21" i="3"/>
  <c r="M34" i="3"/>
  <c r="M25" i="1"/>
  <c r="M39" i="3"/>
  <c r="S7" i="4"/>
  <c r="M29" i="1"/>
  <c r="M19" i="2"/>
  <c r="M19" i="4"/>
  <c r="S9" i="3"/>
  <c r="M23" i="4"/>
  <c r="M29" i="3"/>
  <c r="M34" i="5"/>
  <c r="M38" i="5"/>
  <c r="M30" i="2"/>
  <c r="M38" i="2"/>
  <c r="M42" i="2"/>
  <c r="M38" i="3"/>
  <c r="M21" i="4"/>
  <c r="M25" i="4"/>
  <c r="M29" i="4"/>
  <c r="M37" i="4"/>
  <c r="M41" i="4"/>
  <c r="M57" i="4"/>
  <c r="M23" i="2"/>
  <c r="M27" i="2"/>
  <c r="M35" i="2"/>
  <c r="M39" i="2"/>
  <c r="M39" i="5"/>
  <c r="M15" i="2"/>
  <c r="M35" i="3"/>
  <c r="M18" i="5"/>
  <c r="M22" i="5"/>
  <c r="M31" i="5"/>
  <c r="M35" i="4"/>
  <c r="S7" i="1"/>
  <c r="M26" i="1"/>
  <c r="M30" i="1"/>
  <c r="M42" i="1"/>
  <c r="M40" i="3"/>
  <c r="M44" i="3"/>
  <c r="M48" i="3"/>
  <c r="M27" i="5"/>
  <c r="S9" i="2"/>
  <c r="M20" i="2"/>
  <c r="M22" i="3"/>
  <c r="M47" i="3"/>
  <c r="M21" i="5"/>
  <c r="M25" i="5"/>
  <c r="M28" i="5"/>
  <c r="M16" i="5"/>
  <c r="M42" i="5"/>
  <c r="M37" i="1"/>
  <c r="S7" i="3"/>
  <c r="M18" i="3"/>
  <c r="M22" i="4"/>
  <c r="M23" i="5"/>
  <c r="M23" i="1"/>
  <c r="M27" i="1"/>
  <c r="M27" i="3"/>
  <c r="M31" i="3"/>
  <c r="M54" i="4"/>
  <c r="M58" i="4"/>
  <c r="M30" i="5"/>
  <c r="S8" i="1"/>
  <c r="M37" i="2"/>
  <c r="M26" i="2"/>
  <c r="M49" i="3"/>
  <c r="M46" i="3"/>
  <c r="M28" i="1"/>
  <c r="M29" i="2"/>
  <c r="M33" i="2"/>
  <c r="M38" i="4"/>
  <c r="M41" i="2"/>
  <c r="M15" i="3"/>
  <c r="M32" i="3"/>
  <c r="M27" i="4"/>
  <c r="M31" i="4"/>
  <c r="M39" i="4"/>
  <c r="M43" i="4"/>
  <c r="M47" i="4"/>
  <c r="M51" i="4"/>
  <c r="M55" i="4"/>
  <c r="M59" i="4"/>
  <c r="M15" i="5"/>
  <c r="M32" i="5"/>
  <c r="M40" i="5"/>
  <c r="M34" i="2"/>
  <c r="M43" i="3"/>
  <c r="F6" i="1"/>
  <c r="G6" i="1"/>
  <c r="G6" i="3"/>
  <c r="M33" i="4"/>
  <c r="M18" i="1"/>
  <c r="M22" i="1"/>
  <c r="M17" i="2"/>
  <c r="M25" i="3"/>
  <c r="M15" i="4"/>
  <c r="H6" i="3"/>
  <c r="M17" i="4"/>
  <c r="G6" i="2"/>
  <c r="H6" i="1"/>
  <c r="M31" i="2"/>
  <c r="M24" i="2"/>
  <c r="M28" i="2"/>
  <c r="M32" i="2"/>
  <c r="M37" i="3"/>
  <c r="M26" i="4"/>
  <c r="M34" i="4"/>
  <c r="M26" i="5"/>
  <c r="M46" i="5"/>
  <c r="Y9" i="5" s="1"/>
  <c r="M6" i="2"/>
  <c r="M6" i="3"/>
  <c r="F6" i="4"/>
  <c r="M21" i="1"/>
  <c r="S9" i="4"/>
  <c r="S10" i="4"/>
  <c r="M33" i="1"/>
  <c r="H6" i="2"/>
  <c r="M33" i="3"/>
  <c r="M41" i="3"/>
  <c r="M45" i="3"/>
  <c r="M30" i="4"/>
  <c r="M45" i="4"/>
  <c r="M56" i="4"/>
  <c r="M19" i="5"/>
  <c r="M23" i="3"/>
  <c r="M25" i="2"/>
  <c r="M60" i="4"/>
  <c r="M29" i="5"/>
  <c r="S6" i="4"/>
  <c r="M6" i="1"/>
  <c r="S6" i="1"/>
  <c r="M19" i="1"/>
  <c r="M41" i="1"/>
  <c r="S6" i="3"/>
  <c r="M16" i="4"/>
  <c r="M49" i="4"/>
  <c r="M53" i="4"/>
  <c r="M43" i="5"/>
  <c r="P20" i="5"/>
  <c r="K51" i="5"/>
  <c r="G6" i="4"/>
  <c r="S6" i="2"/>
  <c r="M22" i="2"/>
  <c r="M40" i="2"/>
  <c r="S8" i="3"/>
  <c r="M26" i="3"/>
  <c r="M30" i="3"/>
  <c r="M42" i="3"/>
  <c r="H6" i="4"/>
  <c r="M42" i="4"/>
  <c r="M50" i="4"/>
  <c r="H6" i="5"/>
  <c r="M20" i="5"/>
  <c r="M34" i="1"/>
  <c r="M38" i="1"/>
  <c r="M18" i="2"/>
  <c r="S9" i="1"/>
  <c r="M6" i="4"/>
  <c r="M46" i="4"/>
  <c r="M61" i="4"/>
  <c r="M36" i="5"/>
  <c r="M47" i="5"/>
  <c r="M28" i="4"/>
  <c r="M32" i="4"/>
  <c r="M17" i="5"/>
  <c r="M33" i="5"/>
  <c r="M44" i="5"/>
  <c r="Z6" i="5"/>
  <c r="S6" i="5"/>
  <c r="M6" i="5"/>
  <c r="M52" i="5"/>
  <c r="S9" i="5"/>
  <c r="S7" i="5"/>
  <c r="S8" i="5"/>
  <c r="S10" i="5"/>
  <c r="Y27" i="5"/>
  <c r="Q71" i="5"/>
  <c r="Y30" i="5"/>
  <c r="Q74" i="5"/>
  <c r="Y29" i="5"/>
  <c r="Q73" i="5"/>
  <c r="Y28" i="5"/>
  <c r="Q72" i="5"/>
  <c r="X6" i="5"/>
  <c r="M50" i="5"/>
  <c r="S7" i="2"/>
  <c r="F6" i="3"/>
  <c r="M16" i="3"/>
  <c r="M17" i="1"/>
  <c r="K48" i="5"/>
  <c r="G6" i="5"/>
  <c r="S8" i="2"/>
  <c r="S8" i="4"/>
  <c r="W9" i="5"/>
  <c r="F6" i="2"/>
  <c r="M18" i="4"/>
  <c r="F6" i="5"/>
  <c r="Z10" i="5"/>
  <c r="I6" i="2" l="1"/>
  <c r="I6" i="4"/>
  <c r="I6" i="1"/>
  <c r="I6" i="3"/>
  <c r="P26" i="5"/>
  <c r="P28" i="5"/>
  <c r="R26" i="5"/>
  <c r="R28" i="5"/>
  <c r="R29" i="5"/>
  <c r="P29" i="5"/>
  <c r="R27" i="5"/>
  <c r="R30" i="5"/>
  <c r="P27" i="5"/>
  <c r="P30" i="5"/>
  <c r="X10" i="5"/>
  <c r="M51" i="5"/>
  <c r="Y10" i="5" s="1"/>
  <c r="P22" i="5"/>
  <c r="P18" i="5"/>
  <c r="Y6" i="5"/>
  <c r="X8" i="5"/>
  <c r="M48" i="5"/>
  <c r="Y8" i="5" l="1"/>
  <c r="I6" i="5"/>
</calcChain>
</file>

<file path=xl/sharedStrings.xml><?xml version="1.0" encoding="utf-8"?>
<sst xmlns="http://schemas.openxmlformats.org/spreadsheetml/2006/main" count="410" uniqueCount="53">
  <si>
    <t>TABLEAU DE BORD DE PERFORMANCE ALMARAII ALIMENT  (Avril 2026 )</t>
  </si>
  <si>
    <t>PRODUCTION/ARTICLE</t>
  </si>
  <si>
    <t>CM1</t>
  </si>
  <si>
    <t>OBJECTIF MENSUEL (T)</t>
  </si>
  <si>
    <t>PROGRESSION RÉELLE</t>
  </si>
  <si>
    <t>DISPONIBILITÉ</t>
  </si>
  <si>
    <t>PERFORMANCE</t>
  </si>
  <si>
    <t>QUALITÉ</t>
  </si>
  <si>
    <t>TRS GLOBAL</t>
  </si>
  <si>
    <t>PROD. TOTALE</t>
  </si>
  <si>
    <t>REBUTS / DÉCHETS</t>
  </si>
  <si>
    <t>HEURES ACTIVES</t>
  </si>
  <si>
    <t>CG25</t>
  </si>
  <si>
    <t>CG3</t>
  </si>
  <si>
    <t>DG4</t>
  </si>
  <si>
    <t>JOUR SÉLECTIONNÉ</t>
  </si>
  <si>
    <t xml:space="preserve">  REGISTRE DE PRODUCTION JOURNALIER</t>
  </si>
  <si>
    <t>DATE</t>
  </si>
  <si>
    <t xml:space="preserve">ARTICLE </t>
  </si>
  <si>
    <t>TEMPS OUV. (h)</t>
  </si>
  <si>
    <t>ARRÊTS PLAN. (h)</t>
  </si>
  <si>
    <t xml:space="preserve"> ARRÊTS NON PL.(h)</t>
  </si>
  <si>
    <t>PROD. (T)</t>
  </si>
  <si>
    <t>REBUTS (T)</t>
  </si>
  <si>
    <t>CADENCE STD</t>
  </si>
  <si>
    <t>DISPO. %</t>
  </si>
  <si>
    <t>PERF. %</t>
  </si>
  <si>
    <t>QUALITÉ %</t>
  </si>
  <si>
    <t>TRS %</t>
  </si>
  <si>
    <t>H. RÉELLES</t>
  </si>
  <si>
    <t>DG3</t>
  </si>
  <si>
    <t>TABLEAU DE BORD DE PERFORMANCE ALMARAII ALIMENT  (Mai 2026 )</t>
  </si>
  <si>
    <t>TABLEAU DE BORD DE PERFORMANCE ALMARAII ALIMENT  (JUIN 2026 )</t>
  </si>
  <si>
    <t>TABLEAU DE BORD DE PERFORMANCE ALMARAII ALIMENT  (JUILLET 2026 )</t>
  </si>
  <si>
    <t xml:space="preserve">      HEURES ACTIVES (PRESSE )</t>
  </si>
  <si>
    <t>TEMPS TOTAL PROD . (h)
Par article</t>
  </si>
  <si>
    <t>CADENCE STD
D'article</t>
  </si>
  <si>
    <t>PERF. % / article</t>
  </si>
  <si>
    <t>TRS % / article</t>
  </si>
  <si>
    <t xml:space="preserve">1- </t>
  </si>
  <si>
    <t>TABLEAU DE BORD DE PERFORMANCE ALMARAII ALIMENT  (AOUT 2026 )</t>
  </si>
  <si>
    <t>PRODUCTION / ARTICLE</t>
  </si>
  <si>
    <t>DERNIER ENREGISTREMENT / ARTICLE</t>
  </si>
  <si>
    <t>QTÉ GLOBALE (T)</t>
  </si>
  <si>
    <t xml:space="preserve">  TRS GLOBALE DU JOUR</t>
  </si>
  <si>
    <t xml:space="preserve"> ⏱️ HEURES ACTIVES DU JOUR</t>
  </si>
  <si>
    <t>ARTICLE</t>
  </si>
  <si>
    <t>QTÉ (T)</t>
  </si>
  <si>
    <t>Zone de calcul (ne pas modifier)</t>
  </si>
  <si>
    <t>📈 PERFORMANCE PRESSE DU JOUR</t>
  </si>
  <si>
    <t>#F1F5F9</t>
  </si>
  <si>
    <t>TABLEAU DE BORD DE PERFORMANCE ALMARAII ALIMENT  ( Septembre  2026 )</t>
  </si>
  <si>
    <t>Jours (liste déroulante P14)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</si>
</sst>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&quot;  h&quot;"/>
    <numFmt numFmtId="165" formatCode="[$-40C]d\-mmm;@"/>
    <numFmt numFmtId="166" formatCode="#,##0&quot;  T&quot;"/>
    <numFmt numFmtId="167" formatCode="0.0%"/>
    <numFmt numFmtId="168" formatCode="0.0"/>
    <numFmt numFmtId="169" formatCode="#,##0.0&quot; T&quot;"/>
    <numFmt numFmtId="170" formatCode="0.00&quot; h&quot;"/>
  </numFmts>
  <fonts count="33">
    <font>
      <sz val="11"/>
      <color theme="1"/>
      <name val="Calibri"/>
      <family val="2"/>
      <charset val="1"/>
    </font>
    <font>
      <b/>
      <sz val="22"/>
      <color rgb="FFFFFFFF"/>
      <name val="Calibri"/>
      <family val="2"/>
      <charset val="1"/>
    </font>
    <font>
      <b/>
      <sz val="14"/>
      <color theme="0"/>
      <name val="CentRE"/>
      <charset val="1"/>
    </font>
    <font>
      <b/>
      <sz val="20"/>
      <color rgb="FF3B82F6"/>
      <name val="MS PGothic"/>
      <family val="2"/>
      <charset val="1"/>
    </font>
    <font>
      <b/>
      <sz val="20"/>
      <color rgb="FF10B981"/>
      <name val="Calibri"/>
      <family val="2"/>
      <charset val="1"/>
    </font>
    <font>
      <b/>
      <sz val="20"/>
      <color rgb="FF0F172A"/>
      <name val="Calibri"/>
      <family val="2"/>
      <charset val="1"/>
    </font>
    <font>
      <b/>
      <sz val="20"/>
      <color rgb="FF3B82F6"/>
      <name val="Calibri"/>
      <family val="2"/>
      <charset val="1"/>
    </font>
    <font>
      <b/>
      <sz val="20"/>
      <color rgb="FFEF4444"/>
      <name val="Calibri"/>
      <family val="2"/>
      <charset val="1"/>
    </font>
    <font>
      <b/>
      <sz val="11"/>
      <name val="Century Gothic"/>
      <family val="2"/>
      <charset val="1"/>
    </font>
    <font>
      <b/>
      <sz val="11"/>
      <color theme="4" tint="-0.249977111117893"/>
      <name val="Century Gothic"/>
      <family val="2"/>
      <charset val="1"/>
    </font>
    <font>
      <b/>
      <sz val="9"/>
      <color rgb="FF64748B"/>
      <name val="Calibri"/>
      <family val="2"/>
      <charset val="1"/>
    </font>
    <font>
      <sz val="11"/>
      <color theme="1"/>
      <name val="Century Gothic"/>
      <family val="2"/>
      <charset val="1"/>
    </font>
    <font>
      <b/>
      <sz val="11"/>
      <color rgb="FFFFFFFF"/>
      <name val="Calibri"/>
      <family val="2"/>
      <charset val="1"/>
    </font>
    <font>
      <b/>
      <sz val="9"/>
      <color rgb="FFFFFFFF"/>
      <name val="Calibri"/>
      <family val="2"/>
      <charset val="1"/>
    </font>
    <font>
      <sz val="11"/>
      <name val="Calibri"/>
      <family val="2"/>
      <charset val="1"/>
    </font>
    <font>
      <b/>
      <sz val="12"/>
      <color theme="0"/>
      <name val="CentRE"/>
      <charset val="1"/>
    </font>
    <font>
      <sz val="11"/>
      <color rgb="FFFFFFFF"/>
      <name val="Calibri"/>
      <family val="2"/>
      <charset val="1"/>
    </font>
    <font>
      <b/>
      <sz val="20"/>
      <color theme="1"/>
      <name val="Calibri"/>
      <family val="2"/>
      <charset val="1"/>
    </font>
    <font>
      <b/>
      <sz val="11"/>
      <color theme="1"/>
      <name val="Century Gothic"/>
      <family val="2"/>
      <charset val="1"/>
    </font>
    <font>
      <b/>
      <sz val="11"/>
      <color rgb="FFFFFFFF"/>
      <name val="Calibri"/>
      <family val="2"/>
    </font>
    <font>
      <b/>
      <sz val="9"/>
      <color rgb="FF64748B"/>
      <name val="Calibri"/>
      <family val="2"/>
    </font>
    <font>
      <b/>
      <sz val="11"/>
      <name val="Century Gothic"/>
      <family val="2"/>
    </font>
    <font>
      <sz val="11"/>
      <name val="Calibri"/>
      <family val="2"/>
    </font>
    <font>
      <b/>
      <sz val="20"/>
      <color rgb="FF0F172A"/>
      <name val="Calibri"/>
      <family val="2"/>
    </font>
    <font>
      <b/>
      <sz val="9"/>
      <color rgb="FFFFFFFF"/>
      <name val="Calibri"/>
      <family val="2"/>
    </font>
    <font>
      <i/>
      <sz val="8"/>
      <color rgb="FF94A3B8"/>
      <name val="Calibri"/>
      <family val="2"/>
    </font>
    <font>
      <sz val="8"/>
      <color rgb="FF94A3B8"/>
      <name val="Calibri"/>
      <family val="2"/>
    </font>
    <font>
      <b/>
      <sz val="20"/>
      <name val="Calibri"/>
      <family val="2"/>
    </font>
    <font>
      <b/>
      <sz val="11"/>
      <name val="Calibri"/>
      <family val="2"/>
    </font>
    <font>
      <b/>
      <sz val="16"/>
      <color rgb="FFFFFFFF"/>
      <name val="Calibri"/>
      <family val="2"/>
    </font>
    <font>
      <b/>
      <sz val="20"/>
      <name val="Calibri"/>
      <family val="2"/>
      <charset val="1"/>
    </font>
    <font>
      <b/>
      <sz val="20"/>
      <color rgb="FFA20000"/>
      <name val="Calibri"/>
      <family val="2"/>
    </font>
    <font>
      <b/>
      <sz val="11"/>
      <color theme="1"/>
      <name val="Calibri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0F172A"/>
        <bgColor rgb="FF111111"/>
      </patternFill>
    </fill>
    <fill>
      <patternFill patternType="solid">
        <fgColor rgb="FF111111"/>
        <bgColor rgb="FF0F172A"/>
      </patternFill>
    </fill>
    <fill>
      <patternFill patternType="solid">
        <fgColor rgb="FFFFFBEB"/>
        <bgColor rgb="FFF8F8F8"/>
      </patternFill>
    </fill>
    <fill>
      <patternFill patternType="solid">
        <fgColor rgb="FF3B82F6"/>
        <bgColor rgb="FF0066CC"/>
      </patternFill>
    </fill>
    <fill>
      <patternFill patternType="solid">
        <fgColor rgb="FFF1F5F9"/>
        <bgColor rgb="FFF8F8F8"/>
      </patternFill>
    </fill>
    <fill>
      <patternFill patternType="solid">
        <fgColor theme="0"/>
        <bgColor rgb="FFF8F8F8"/>
      </patternFill>
    </fill>
    <fill>
      <patternFill patternType="solid">
        <fgColor theme="8" tint="0.59987182226020086"/>
        <bgColor rgb="FF99CCFF"/>
      </patternFill>
    </fill>
    <fill>
      <patternFill patternType="solid">
        <fgColor rgb="FFF8F8F8"/>
        <bgColor rgb="FFF1F5F9"/>
      </patternFill>
    </fill>
    <fill>
      <patternFill patternType="solid">
        <fgColor theme="1"/>
        <bgColor rgb="FFF8F8F8"/>
      </patternFill>
    </fill>
    <fill>
      <patternFill patternType="solid">
        <fgColor rgb="FFF1F5F9"/>
        <bgColor rgb="FFF1F5F9"/>
      </patternFill>
    </fill>
    <fill>
      <patternFill patternType="solid">
        <fgColor rgb="FFF1F5F9"/>
        <bgColor indexed="64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/>
      <top style="thin">
        <color theme="0"/>
      </top>
      <bottom/>
      <diagonal/>
    </border>
    <border>
      <left style="medium">
        <color theme="0"/>
      </left>
      <right style="medium">
        <color theme="0"/>
      </right>
      <top style="thick">
        <color theme="0"/>
      </top>
      <bottom style="medium">
        <color theme="0"/>
      </bottom>
      <diagonal/>
    </border>
    <border>
      <left/>
      <right/>
      <top/>
      <bottom style="thin">
        <color rgb="FFE2E8F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rgb="FFE2E8F0"/>
      </bottom>
      <diagonal/>
    </border>
    <border>
      <left/>
      <right style="thin">
        <color indexed="64"/>
      </right>
      <top/>
      <bottom style="thin">
        <color rgb="FFE2E8F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theme="0"/>
      </right>
      <top style="thin">
        <color indexed="64"/>
      </top>
      <bottom style="medium">
        <color theme="0"/>
      </bottom>
      <diagonal/>
    </border>
    <border>
      <left style="thin">
        <color indexed="64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indexed="64"/>
      </right>
      <top style="thin">
        <color rgb="FFE2E8F0"/>
      </top>
      <bottom style="thin">
        <color rgb="FFE2E8F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/>
      <right/>
      <top style="thick">
        <color theme="0"/>
      </top>
      <bottom/>
      <diagonal/>
    </border>
    <border>
      <left/>
      <right style="medium">
        <color theme="0"/>
      </right>
      <top style="thick">
        <color theme="0"/>
      </top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/>
      <right style="medium">
        <color theme="0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thin">
        <color indexed="64"/>
      </left>
      <right/>
      <top style="thin">
        <color indexed="64"/>
      </top>
      <bottom style="medium">
        <color rgb="FFFFFFFF"/>
      </bottom>
      <diagonal/>
    </border>
    <border>
      <left/>
      <right/>
      <top style="thin">
        <color indexed="64"/>
      </top>
      <bottom style="medium">
        <color rgb="FFFFFFFF"/>
      </bottom>
      <diagonal/>
    </border>
    <border>
      <left/>
      <right style="thin">
        <color indexed="64"/>
      </right>
      <top style="thin">
        <color indexed="64"/>
      </top>
      <bottom style="medium">
        <color rgb="FFFFFFFF"/>
      </bottom>
      <diagonal/>
    </border>
  </borders>
  <cellStyleXfs count="1">
    <xf numFmtId="0" fontId="0" fillId="0" borderId="0"/>
  </cellStyleXfs>
  <cellXfs count="150">
    <xf numFmtId="0" fontId="0" fillId="0" borderId="0" xfId="0"/>
    <xf numFmtId="164" fontId="5" fillId="0" borderId="0" xfId="0" applyNumberFormat="1" applyFont="1" applyAlignment="1">
      <alignment horizontal="center" vertical="center"/>
    </xf>
    <xf numFmtId="165" fontId="0" fillId="0" borderId="0" xfId="0" applyNumberFormat="1"/>
    <xf numFmtId="166" fontId="3" fillId="4" borderId="0" xfId="0" applyNumberFormat="1" applyFont="1" applyFill="1" applyAlignment="1">
      <alignment horizontal="center" vertical="center"/>
    </xf>
    <xf numFmtId="167" fontId="4" fillId="0" borderId="0" xfId="0" applyNumberFormat="1" applyFont="1" applyAlignment="1">
      <alignment horizontal="center" vertical="center"/>
    </xf>
    <xf numFmtId="9" fontId="5" fillId="0" borderId="0" xfId="0" applyNumberFormat="1" applyFont="1" applyAlignment="1">
      <alignment horizontal="center" vertical="center"/>
    </xf>
    <xf numFmtId="9" fontId="6" fillId="0" borderId="0" xfId="0" applyNumberFormat="1" applyFont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166" fontId="7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0" xfId="0" applyFont="1"/>
    <xf numFmtId="9" fontId="9" fillId="0" borderId="0" xfId="0" applyNumberFormat="1" applyFont="1"/>
    <xf numFmtId="0" fontId="10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/>
    <xf numFmtId="165" fontId="13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9" fontId="0" fillId="6" borderId="1" xfId="0" applyNumberFormat="1" applyFill="1" applyBorder="1" applyAlignment="1">
      <alignment horizontal="center"/>
    </xf>
    <xf numFmtId="2" fontId="0" fillId="6" borderId="1" xfId="0" applyNumberForma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0" borderId="2" xfId="0" applyBorder="1"/>
    <xf numFmtId="165" fontId="0" fillId="8" borderId="1" xfId="0" applyNumberFormat="1" applyFill="1" applyBorder="1" applyAlignment="1">
      <alignment horizontal="center"/>
    </xf>
    <xf numFmtId="0" fontId="14" fillId="8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9" fontId="0" fillId="8" borderId="1" xfId="0" applyNumberFormat="1" applyFill="1" applyBorder="1" applyAlignment="1">
      <alignment horizontal="center"/>
    </xf>
    <xf numFmtId="2" fontId="0" fillId="8" borderId="1" xfId="0" applyNumberForma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7" borderId="0" xfId="0" applyFill="1"/>
    <xf numFmtId="0" fontId="16" fillId="0" borderId="0" xfId="0" applyFont="1"/>
    <xf numFmtId="0" fontId="13" fillId="7" borderId="0" xfId="0" applyFont="1" applyFill="1" applyAlignment="1">
      <alignment horizontal="center" vertical="center"/>
    </xf>
    <xf numFmtId="2" fontId="0" fillId="7" borderId="0" xfId="0" applyNumberFormat="1" applyFill="1" applyAlignment="1">
      <alignment horizontal="center"/>
    </xf>
    <xf numFmtId="0" fontId="0" fillId="9" borderId="1" xfId="0" applyFill="1" applyBorder="1" applyAlignment="1">
      <alignment horizontal="center"/>
    </xf>
    <xf numFmtId="165" fontId="0" fillId="7" borderId="1" xfId="0" applyNumberFormat="1" applyFill="1" applyBorder="1" applyAlignment="1">
      <alignment horizontal="center"/>
    </xf>
    <xf numFmtId="0" fontId="14" fillId="7" borderId="1" xfId="0" applyFont="1" applyFill="1" applyBorder="1" applyAlignment="1">
      <alignment horizontal="center"/>
    </xf>
    <xf numFmtId="9" fontId="0" fillId="7" borderId="1" xfId="0" applyNumberFormat="1" applyFill="1" applyBorder="1" applyAlignment="1">
      <alignment horizontal="center"/>
    </xf>
    <xf numFmtId="2" fontId="0" fillId="7" borderId="1" xfId="0" applyNumberFormat="1" applyFill="1" applyBorder="1" applyAlignment="1">
      <alignment horizontal="center"/>
    </xf>
    <xf numFmtId="0" fontId="0" fillId="7" borderId="0" xfId="0" applyFill="1" applyAlignment="1">
      <alignment horizontal="center" vertical="center"/>
    </xf>
    <xf numFmtId="2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0" fontId="18" fillId="0" borderId="0" xfId="0" applyFont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168" fontId="21" fillId="0" borderId="0" xfId="0" applyNumberFormat="1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2" fontId="21" fillId="0" borderId="0" xfId="0" applyNumberFormat="1" applyFont="1" applyAlignment="1">
      <alignment horizontal="center" vertical="center"/>
    </xf>
    <xf numFmtId="0" fontId="22" fillId="0" borderId="0" xfId="0" applyFont="1"/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165" fontId="0" fillId="0" borderId="8" xfId="0" applyNumberFormat="1" applyBorder="1"/>
    <xf numFmtId="165" fontId="0" fillId="0" borderId="12" xfId="0" applyNumberFormat="1" applyBorder="1"/>
    <xf numFmtId="165" fontId="13" fillId="2" borderId="16" xfId="0" applyNumberFormat="1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165" fontId="0" fillId="6" borderId="16" xfId="0" applyNumberFormat="1" applyFill="1" applyBorder="1" applyAlignment="1">
      <alignment horizontal="center"/>
    </xf>
    <xf numFmtId="2" fontId="0" fillId="6" borderId="17" xfId="0" applyNumberFormat="1" applyFill="1" applyBorder="1" applyAlignment="1">
      <alignment horizontal="center"/>
    </xf>
    <xf numFmtId="165" fontId="0" fillId="7" borderId="16" xfId="0" applyNumberFormat="1" applyFill="1" applyBorder="1" applyAlignment="1">
      <alignment horizont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/>
    </xf>
    <xf numFmtId="0" fontId="18" fillId="0" borderId="13" xfId="0" applyFont="1" applyBorder="1" applyAlignment="1">
      <alignment vertical="center"/>
    </xf>
    <xf numFmtId="0" fontId="8" fillId="0" borderId="13" xfId="0" applyFont="1" applyBorder="1" applyAlignment="1">
      <alignment horizontal="left"/>
    </xf>
    <xf numFmtId="9" fontId="9" fillId="0" borderId="0" xfId="0" applyNumberFormat="1" applyFont="1" applyAlignment="1">
      <alignment horizontal="left"/>
    </xf>
    <xf numFmtId="9" fontId="9" fillId="0" borderId="13" xfId="0" applyNumberFormat="1" applyFont="1" applyBorder="1" applyAlignment="1">
      <alignment horizontal="left"/>
    </xf>
    <xf numFmtId="167" fontId="4" fillId="0" borderId="0" xfId="0" applyNumberFormat="1" applyFont="1" applyAlignment="1">
      <alignment horizontal="center"/>
    </xf>
    <xf numFmtId="9" fontId="5" fillId="0" borderId="0" xfId="0" applyNumberFormat="1" applyFont="1" applyAlignment="1">
      <alignment horizontal="center"/>
    </xf>
    <xf numFmtId="9" fontId="6" fillId="0" borderId="0" xfId="0" applyNumberFormat="1" applyFont="1" applyAlignment="1">
      <alignment horizontal="center"/>
    </xf>
    <xf numFmtId="166" fontId="4" fillId="0" borderId="0" xfId="0" applyNumberFormat="1" applyFont="1" applyAlignment="1">
      <alignment horizontal="center"/>
    </xf>
    <xf numFmtId="166" fontId="3" fillId="4" borderId="0" xfId="0" applyNumberFormat="1" applyFont="1" applyFill="1" applyAlignment="1">
      <alignment horizontal="center"/>
    </xf>
    <xf numFmtId="166" fontId="30" fillId="0" borderId="0" xfId="0" applyNumberFormat="1" applyFont="1" applyAlignment="1">
      <alignment horizontal="center"/>
    </xf>
    <xf numFmtId="0" fontId="22" fillId="0" borderId="12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6" xfId="0" applyFont="1" applyBorder="1"/>
    <xf numFmtId="0" fontId="22" fillId="0" borderId="6" xfId="0" applyFont="1" applyBorder="1" applyAlignment="1">
      <alignment horizontal="center" vertical="center"/>
    </xf>
    <xf numFmtId="0" fontId="22" fillId="0" borderId="7" xfId="0" applyFont="1" applyBorder="1"/>
    <xf numFmtId="0" fontId="22" fillId="0" borderId="13" xfId="0" applyFont="1" applyBorder="1"/>
    <xf numFmtId="0" fontId="22" fillId="0" borderId="14" xfId="0" applyFont="1" applyBorder="1"/>
    <xf numFmtId="14" fontId="0" fillId="0" borderId="0" xfId="0" applyNumberFormat="1"/>
    <xf numFmtId="2" fontId="0" fillId="7" borderId="17" xfId="0" applyNumberFormat="1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165" fontId="0" fillId="13" borderId="16" xfId="0" applyNumberFormat="1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9" fontId="0" fillId="13" borderId="1" xfId="0" applyNumberFormat="1" applyFill="1" applyBorder="1" applyAlignment="1">
      <alignment horizontal="center"/>
    </xf>
    <xf numFmtId="165" fontId="0" fillId="12" borderId="16" xfId="0" applyNumberFormat="1" applyFill="1" applyBorder="1" applyAlignment="1">
      <alignment horizontal="center"/>
    </xf>
    <xf numFmtId="9" fontId="0" fillId="12" borderId="1" xfId="0" applyNumberFormat="1" applyFill="1" applyBorder="1" applyAlignment="1">
      <alignment horizontal="center"/>
    </xf>
    <xf numFmtId="14" fontId="22" fillId="0" borderId="5" xfId="0" applyNumberFormat="1" applyFont="1" applyBorder="1" applyAlignment="1">
      <alignment horizontal="center" vertical="center"/>
    </xf>
    <xf numFmtId="2" fontId="0" fillId="0" borderId="17" xfId="0" applyNumberFormat="1" applyBorder="1" applyAlignment="1">
      <alignment horizontal="center"/>
    </xf>
    <xf numFmtId="0" fontId="32" fillId="0" borderId="0" xfId="0" applyFont="1"/>
    <xf numFmtId="0" fontId="12" fillId="5" borderId="0" xfId="0" applyFont="1" applyFill="1" applyAlignment="1">
      <alignment vertical="center"/>
    </xf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165" fontId="0" fillId="0" borderId="0" xfId="0" applyNumberFormat="1"/>
    <xf numFmtId="0" fontId="1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17" fillId="0" borderId="0" xfId="0" applyFont="1" applyAlignment="1">
      <alignment horizontal="center" vertical="top"/>
    </xf>
    <xf numFmtId="0" fontId="12" fillId="5" borderId="0" xfId="0" applyFont="1" applyFill="1" applyAlignment="1">
      <alignment horizontal="center" vertical="center"/>
    </xf>
    <xf numFmtId="0" fontId="10" fillId="0" borderId="0" xfId="0" applyFont="1" applyAlignment="1">
      <alignment horizontal="left"/>
    </xf>
    <xf numFmtId="164" fontId="5" fillId="0" borderId="0" xfId="0" applyNumberFormat="1" applyFont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0" fillId="0" borderId="4" xfId="0" applyBorder="1"/>
    <xf numFmtId="0" fontId="20" fillId="0" borderId="29" xfId="0" applyFont="1" applyBorder="1" applyAlignment="1">
      <alignment horizontal="center" vertical="center"/>
    </xf>
    <xf numFmtId="0" fontId="0" fillId="0" borderId="9" xfId="0" applyBorder="1"/>
    <xf numFmtId="0" fontId="24" fillId="2" borderId="18" xfId="0" applyFont="1" applyFill="1" applyBorder="1" applyAlignment="1">
      <alignment horizontal="center" vertical="center"/>
    </xf>
    <xf numFmtId="0" fontId="0" fillId="0" borderId="30" xfId="0" applyBorder="1"/>
    <xf numFmtId="169" fontId="22" fillId="0" borderId="11" xfId="0" applyNumberFormat="1" applyFont="1" applyBorder="1" applyAlignment="1">
      <alignment horizontal="center" vertical="center"/>
    </xf>
    <xf numFmtId="0" fontId="0" fillId="0" borderId="11" xfId="0" applyBorder="1"/>
    <xf numFmtId="0" fontId="1" fillId="2" borderId="15" xfId="0" applyFont="1" applyFill="1" applyBorder="1" applyAlignment="1">
      <alignment horizontal="center" vertical="center"/>
    </xf>
    <xf numFmtId="0" fontId="0" fillId="0" borderId="6" xfId="0" applyBorder="1"/>
    <xf numFmtId="0" fontId="0" fillId="0" borderId="26" xfId="0" applyBorder="1"/>
    <xf numFmtId="0" fontId="0" fillId="0" borderId="27" xfId="0" applyBorder="1"/>
    <xf numFmtId="169" fontId="31" fillId="0" borderId="29" xfId="0" applyNumberFormat="1" applyFont="1" applyBorder="1" applyAlignment="1">
      <alignment horizontal="center" vertical="center"/>
    </xf>
    <xf numFmtId="0" fontId="19" fillId="5" borderId="33" xfId="0" applyFont="1" applyFill="1" applyBorder="1" applyAlignment="1">
      <alignment horizontal="center" vertical="center"/>
    </xf>
    <xf numFmtId="0" fontId="19" fillId="5" borderId="34" xfId="0" applyFont="1" applyFill="1" applyBorder="1" applyAlignment="1">
      <alignment horizontal="center" vertical="center"/>
    </xf>
    <xf numFmtId="0" fontId="19" fillId="5" borderId="35" xfId="0" applyFont="1" applyFill="1" applyBorder="1" applyAlignment="1">
      <alignment horizontal="center" vertical="center"/>
    </xf>
    <xf numFmtId="9" fontId="27" fillId="0" borderId="29" xfId="0" applyNumberFormat="1" applyFont="1" applyBorder="1" applyAlignment="1">
      <alignment horizontal="center" vertical="center"/>
    </xf>
    <xf numFmtId="0" fontId="10" fillId="0" borderId="9" xfId="0" applyFont="1" applyBorder="1" applyAlignment="1">
      <alignment horizontal="left"/>
    </xf>
    <xf numFmtId="164" fontId="5" fillId="0" borderId="9" xfId="0" applyNumberFormat="1" applyFont="1" applyBorder="1" applyAlignment="1">
      <alignment horizontal="center"/>
    </xf>
    <xf numFmtId="14" fontId="29" fillId="10" borderId="32" xfId="0" applyNumberFormat="1" applyFont="1" applyFill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12" fillId="5" borderId="28" xfId="0" applyFont="1" applyFill="1" applyBorder="1" applyAlignment="1">
      <alignment horizontal="center" vertical="center"/>
    </xf>
    <xf numFmtId="0" fontId="0" fillId="0" borderId="7" xfId="0" applyBorder="1"/>
    <xf numFmtId="0" fontId="15" fillId="3" borderId="28" xfId="0" applyFont="1" applyFill="1" applyBorder="1" applyAlignment="1">
      <alignment horizontal="center" vertical="center" wrapText="1"/>
    </xf>
    <xf numFmtId="0" fontId="0" fillId="0" borderId="8" xfId="0" applyBorder="1"/>
    <xf numFmtId="169" fontId="22" fillId="0" borderId="14" xfId="0" applyNumberFormat="1" applyFont="1" applyBorder="1" applyAlignment="1">
      <alignment horizontal="center" vertical="center"/>
    </xf>
    <xf numFmtId="0" fontId="0" fillId="0" borderId="13" xfId="0" applyBorder="1"/>
    <xf numFmtId="0" fontId="0" fillId="0" borderId="14" xfId="0" applyBorder="1"/>
    <xf numFmtId="0" fontId="0" fillId="0" borderId="31" xfId="0" applyBorder="1"/>
    <xf numFmtId="170" fontId="23" fillId="0" borderId="29" xfId="0" applyNumberFormat="1" applyFont="1" applyBorder="1" applyAlignment="1">
      <alignment horizontal="center" vertical="center"/>
    </xf>
    <xf numFmtId="169" fontId="28" fillId="0" borderId="11" xfId="0" applyNumberFormat="1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9" fontId="23" fillId="0" borderId="29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BEB"/>
      <rgbColor rgb="FFF1F5F9"/>
      <rgbColor rgb="FF660066"/>
      <rgbColor rgb="FFFF8080"/>
      <rgbColor rgb="FF0066CC"/>
      <rgbColor rgb="FFB7DE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8F0"/>
      <rgbColor rgb="FFF8F8F8"/>
      <rgbColor rgb="FFFFFF99"/>
      <rgbColor rgb="FF99CCFF"/>
      <rgbColor rgb="FFFF99CC"/>
      <rgbColor rgb="FFCC99FF"/>
      <rgbColor rgb="FFFFCC99"/>
      <rgbColor rgb="FF3B82F6"/>
      <rgbColor rgb="FF33CCCC"/>
      <rgbColor rgb="FF99CC00"/>
      <rgbColor rgb="FFFFCC00"/>
      <rgbColor rgb="FFFF9900"/>
      <rgbColor rgb="FFEF4444"/>
      <rgbColor rgb="FF64748B"/>
      <rgbColor rgb="FF94A3B8"/>
      <rgbColor rgb="FF003366"/>
      <rgbColor rgb="FF10B981"/>
      <rgbColor rgb="FF0F172A"/>
      <rgbColor rgb="FF111111"/>
      <rgbColor rgb="FF993300"/>
      <rgbColor rgb="FF993366"/>
      <rgbColor rgb="FF376092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1F5F9"/>
      <color rgb="FFBBBE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>
    <a:spDef>
      <a:spPr>
        <a:gradFill flip="none" rotWithShape="1"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5400000" scaled="1"/>
          <a:tileRect/>
        </a:gradFill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9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ECCA9B3-73E5-4EBD-88DB-75047C2AA4BA}">
  <we:reference id="wa200009404" version="1.0.0.8" store="fr-FR" storeType="OMEX"/>
  <we:alternateReferences>
    <we:reference id="wa200009404" version="1.0.0.8" store="fr-FR" storeType="OMEX"/>
  </we:alternateReferences>
  <we:properties>
    <we:property name="claude.fileId" value="&quot;e4946646-f208-438b-bbd3-934dfab502a9&quot;"/>
  </we:properties>
  <we:bindings/>
  <we:snapshot xmlns:r="http://schemas.openxmlformats.org/officeDocument/2006/relationships"/>
</we:webextension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B3:Z43"/>
  <sheetViews>
    <sheetView showGridLines="0" zoomScale="96" zoomScaleNormal="96" workbookViewId="0">
      <selection activeCell="P15" sqref="P15"/>
    </sheetView>
  </sheetViews>
  <sheetFormatPr baseColWidth="10" defaultColWidth="9.140625" defaultRowHeight="15"/>
  <cols>
    <col min="2" max="2" width="12" style="2" customWidth="1"/>
    <col min="3" max="3" width="20" customWidth="1"/>
    <col min="4" max="4" width="19.42578125" customWidth="1"/>
    <col min="5" max="6" width="15" customWidth="1"/>
    <col min="7" max="7" width="17.28515625" customWidth="1"/>
    <col min="8" max="9" width="12" customWidth="1"/>
    <col min="10" max="10" width="10" customWidth="1"/>
    <col min="11" max="11" width="19.42578125" customWidth="1"/>
    <col min="12" max="12" width="15.85546875" customWidth="1"/>
    <col min="13" max="13" width="13.5703125" customWidth="1"/>
    <col min="14" max="14" width="16.7109375" customWidth="1"/>
    <col min="16" max="16" width="10.85546875" bestFit="1" customWidth="1"/>
    <col min="20" max="20" width="5.85546875" customWidth="1"/>
    <col min="21" max="21" width="0.28515625" customWidth="1"/>
  </cols>
  <sheetData>
    <row r="3" spans="2:26" ht="15" customHeight="1">
      <c r="B3" s="101" t="s">
        <v>0</v>
      </c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  <c r="P3" s="100" t="s">
        <v>1</v>
      </c>
      <c r="Q3" s="99"/>
      <c r="R3" s="99"/>
      <c r="S3" s="99"/>
      <c r="T3" s="99"/>
      <c r="U3" s="99"/>
    </row>
    <row r="4" spans="2:26" ht="15" customHeight="1">
      <c r="B4" s="102"/>
      <c r="C4" s="99"/>
      <c r="D4" s="99"/>
      <c r="E4" s="99"/>
      <c r="F4" s="99"/>
      <c r="G4" s="99"/>
      <c r="H4" s="99"/>
      <c r="I4" s="99"/>
      <c r="J4" s="99"/>
      <c r="K4" s="99"/>
      <c r="L4" s="99"/>
      <c r="M4" s="99"/>
      <c r="N4" s="99"/>
      <c r="P4" s="99"/>
      <c r="Q4" s="99"/>
      <c r="R4" s="99"/>
      <c r="S4" s="99"/>
      <c r="T4" s="99"/>
      <c r="U4" s="99"/>
    </row>
    <row r="6" spans="2:26" ht="45" customHeight="1">
      <c r="C6" s="3">
        <v>2500</v>
      </c>
      <c r="D6" s="4">
        <f>IF(C6&gt;0, SUM(G16:G44)/C6, 0)</f>
        <v>0.86499999999999999</v>
      </c>
      <c r="F6" s="5">
        <f>IFERROR(AVERAGE(J17:J44), 0)</f>
        <v>0.91454762190230976</v>
      </c>
      <c r="G6" s="5">
        <f>IFERROR(AVERAGE(K17:K44), 0)</f>
        <v>0.70412829367880136</v>
      </c>
      <c r="H6" s="5">
        <f>IFERROR(AVERAGE(L17:L44), 0)</f>
        <v>1</v>
      </c>
      <c r="I6" s="6">
        <f>IFERROR(AVERAGE(M17:M44), 0)</f>
        <v>0.64245161636033488</v>
      </c>
      <c r="K6" s="7">
        <f>SUM(G16:G44)</f>
        <v>2162.5</v>
      </c>
      <c r="L6" s="8">
        <f>SUM(H16:H44)</f>
        <v>0</v>
      </c>
      <c r="M6" s="1">
        <f>SUM(N17:N44)</f>
        <v>229.35</v>
      </c>
      <c r="Q6" s="9" t="s">
        <v>2</v>
      </c>
      <c r="R6" s="10">
        <f>SUMIF(C15:C90,Q6,G15:G130)</f>
        <v>532.5</v>
      </c>
      <c r="S6" s="11">
        <f>R6/SUM(R6:R9)</f>
        <v>0.24970691676436108</v>
      </c>
    </row>
    <row r="7" spans="2:26" ht="15" customHeight="1">
      <c r="C7" s="12" t="s">
        <v>3</v>
      </c>
      <c r="D7" s="12" t="s">
        <v>4</v>
      </c>
      <c r="F7" s="12" t="s">
        <v>5</v>
      </c>
      <c r="G7" s="12" t="s">
        <v>6</v>
      </c>
      <c r="H7" s="12" t="s">
        <v>7</v>
      </c>
      <c r="I7" s="12" t="s">
        <v>8</v>
      </c>
      <c r="K7" s="12" t="s">
        <v>9</v>
      </c>
      <c r="L7" s="12" t="s">
        <v>10</v>
      </c>
      <c r="M7" s="12" t="s">
        <v>11</v>
      </c>
      <c r="Q7" s="13" t="s">
        <v>12</v>
      </c>
      <c r="R7" s="10">
        <f>SUMIF(C15:C91,Q7,G15:G131)</f>
        <v>775</v>
      </c>
      <c r="S7" s="11">
        <f>R7/SUM(R6:R10)</f>
        <v>0.36342321219226259</v>
      </c>
    </row>
    <row r="8" spans="2:26" ht="15" customHeight="1">
      <c r="Q8" s="13" t="s">
        <v>13</v>
      </c>
      <c r="R8" s="10">
        <f>SUMIF(C15:C92,Q8,G15:G132)</f>
        <v>795</v>
      </c>
      <c r="S8" s="11">
        <f>R8/SUM(R6:R11)</f>
        <v>0.37280187573270807</v>
      </c>
    </row>
    <row r="9" spans="2:26" ht="15" customHeight="1">
      <c r="Q9" s="13" t="s">
        <v>14</v>
      </c>
      <c r="R9" s="10">
        <f>SUMIF(C15:C93,Q9,G15:G133)</f>
        <v>30</v>
      </c>
      <c r="S9" s="11">
        <f>R9/SUM(R6:R12)</f>
        <v>1.4067995310668231E-2</v>
      </c>
    </row>
    <row r="10" spans="2:26" ht="16.5" customHeight="1">
      <c r="Q10" s="14"/>
      <c r="R10" s="15"/>
      <c r="S10" s="15"/>
    </row>
    <row r="13" spans="2:26">
      <c r="P13" t="s">
        <v>15</v>
      </c>
    </row>
    <row r="14" spans="2:26" ht="24.75" customHeight="1">
      <c r="B14" s="98" t="s">
        <v>16</v>
      </c>
      <c r="C14" s="99"/>
      <c r="D14" s="99"/>
      <c r="E14" s="99"/>
      <c r="F14" s="99"/>
      <c r="G14" s="99"/>
      <c r="H14" s="99"/>
      <c r="I14" s="99"/>
      <c r="J14" s="99"/>
      <c r="K14" s="99"/>
      <c r="L14" s="99"/>
      <c r="M14" s="99"/>
      <c r="N14" s="99"/>
      <c r="P14" s="86">
        <v>46142</v>
      </c>
    </row>
    <row r="15" spans="2:26" ht="19.5" customHeight="1">
      <c r="B15" s="16" t="s">
        <v>17</v>
      </c>
      <c r="C15" s="17" t="s">
        <v>18</v>
      </c>
      <c r="D15" s="17" t="s">
        <v>19</v>
      </c>
      <c r="E15" s="17" t="s">
        <v>20</v>
      </c>
      <c r="F15" s="17" t="s">
        <v>21</v>
      </c>
      <c r="G15" s="17" t="s">
        <v>22</v>
      </c>
      <c r="H15" s="17" t="s">
        <v>23</v>
      </c>
      <c r="I15" s="17" t="s">
        <v>24</v>
      </c>
      <c r="J15" s="17" t="s">
        <v>25</v>
      </c>
      <c r="K15" s="17" t="s">
        <v>26</v>
      </c>
      <c r="L15" s="17" t="s">
        <v>27</v>
      </c>
      <c r="M15" s="17" t="s">
        <v>28</v>
      </c>
      <c r="N15" s="17" t="s">
        <v>29</v>
      </c>
      <c r="Z15" s="86">
        <v>46113</v>
      </c>
    </row>
    <row r="16" spans="2:26" ht="18" customHeight="1">
      <c r="B16" s="18">
        <v>46113</v>
      </c>
      <c r="C16" s="19" t="s">
        <v>13</v>
      </c>
      <c r="D16" s="19">
        <v>4</v>
      </c>
      <c r="E16" s="19">
        <v>0.5</v>
      </c>
      <c r="F16" s="19">
        <v>0.43</v>
      </c>
      <c r="G16" s="19">
        <v>40</v>
      </c>
      <c r="H16" s="19">
        <v>0</v>
      </c>
      <c r="I16" s="19">
        <v>15</v>
      </c>
      <c r="J16" s="20">
        <f t="shared" ref="J16:J43" si="0">IF(D16&gt;0, (D16-F16)/D16, "")</f>
        <v>0.89249999999999996</v>
      </c>
      <c r="K16" s="20">
        <f t="shared" ref="K16:K43" si="1">IF((D16-E16-F16)*I16&gt;0, G16/((D16-E16-F16)*I16), "")</f>
        <v>0.86862106406080353</v>
      </c>
      <c r="L16" s="20">
        <f t="shared" ref="L16:L43" si="2">IF(G16&gt;0, (G16-H16)/G16, "")</f>
        <v>1</v>
      </c>
      <c r="M16" s="20">
        <f t="shared" ref="M16:M43" si="3">IF(AND(ISNUMBER(J16), ISNUMBER(K16), ISNUMBER(L16)), J16*K16*L16, "")</f>
        <v>0.77524429967426711</v>
      </c>
      <c r="N16" s="21">
        <f t="shared" ref="N16:N43" si="4">IF(D16&gt;0, D16-E16-F16, "")</f>
        <v>3.07</v>
      </c>
      <c r="Z16" s="86">
        <v>46114</v>
      </c>
    </row>
    <row r="17" spans="2:26" ht="18" customHeight="1">
      <c r="B17" s="22">
        <v>46113</v>
      </c>
      <c r="C17" s="23" t="s">
        <v>2</v>
      </c>
      <c r="D17" s="23">
        <v>3</v>
      </c>
      <c r="E17" s="23"/>
      <c r="F17" s="23">
        <v>0.35</v>
      </c>
      <c r="G17" s="23">
        <v>30</v>
      </c>
      <c r="H17" s="23">
        <v>0</v>
      </c>
      <c r="I17" s="23">
        <v>10</v>
      </c>
      <c r="J17" s="24">
        <f t="shared" si="0"/>
        <v>0.8833333333333333</v>
      </c>
      <c r="K17" s="24">
        <f t="shared" si="1"/>
        <v>1.1320754716981132</v>
      </c>
      <c r="L17" s="24">
        <f t="shared" si="2"/>
        <v>1</v>
      </c>
      <c r="M17" s="24">
        <f t="shared" si="3"/>
        <v>0.99999999999999989</v>
      </c>
      <c r="N17" s="25">
        <f t="shared" si="4"/>
        <v>2.65</v>
      </c>
      <c r="Z17" s="86">
        <v>46115</v>
      </c>
    </row>
    <row r="18" spans="2:26" ht="18" customHeight="1">
      <c r="B18" s="18">
        <v>46114</v>
      </c>
      <c r="C18" s="19" t="s">
        <v>12</v>
      </c>
      <c r="D18" s="19">
        <v>11</v>
      </c>
      <c r="E18" s="19"/>
      <c r="F18" s="19">
        <v>0.6</v>
      </c>
      <c r="G18" s="19">
        <v>120</v>
      </c>
      <c r="H18" s="19">
        <v>0</v>
      </c>
      <c r="I18" s="19">
        <v>15</v>
      </c>
      <c r="J18" s="20">
        <f t="shared" si="0"/>
        <v>0.94545454545454544</v>
      </c>
      <c r="K18" s="20">
        <f t="shared" si="1"/>
        <v>0.76923076923076927</v>
      </c>
      <c r="L18" s="20">
        <f t="shared" si="2"/>
        <v>1</v>
      </c>
      <c r="M18" s="20">
        <f t="shared" si="3"/>
        <v>0.72727272727272729</v>
      </c>
      <c r="N18" s="21">
        <f t="shared" si="4"/>
        <v>10.4</v>
      </c>
      <c r="Z18" s="86">
        <v>46116</v>
      </c>
    </row>
    <row r="19" spans="2:26" ht="18" customHeight="1">
      <c r="B19" s="22">
        <v>46115</v>
      </c>
      <c r="C19" s="23" t="s">
        <v>12</v>
      </c>
      <c r="D19" s="23">
        <v>10</v>
      </c>
      <c r="E19" s="23"/>
      <c r="F19" s="23">
        <v>1.4</v>
      </c>
      <c r="G19" s="23">
        <v>100</v>
      </c>
      <c r="H19" s="23">
        <v>0</v>
      </c>
      <c r="I19" s="26">
        <v>15</v>
      </c>
      <c r="J19" s="24">
        <f t="shared" si="0"/>
        <v>0.86</v>
      </c>
      <c r="K19" s="24">
        <f t="shared" si="1"/>
        <v>0.77519379844961245</v>
      </c>
      <c r="L19" s="24">
        <f t="shared" si="2"/>
        <v>1</v>
      </c>
      <c r="M19" s="24">
        <f t="shared" si="3"/>
        <v>0.66666666666666674</v>
      </c>
      <c r="N19" s="25">
        <f t="shared" si="4"/>
        <v>8.6</v>
      </c>
      <c r="Z19" s="86">
        <v>46118</v>
      </c>
    </row>
    <row r="20" spans="2:26" ht="18" customHeight="1">
      <c r="B20" s="18">
        <v>46116</v>
      </c>
      <c r="C20" s="19" t="s">
        <v>2</v>
      </c>
      <c r="D20" s="19">
        <v>4</v>
      </c>
      <c r="E20" s="19"/>
      <c r="F20" s="19">
        <v>0.4</v>
      </c>
      <c r="G20" s="19">
        <v>30</v>
      </c>
      <c r="H20" s="19">
        <v>0</v>
      </c>
      <c r="I20" s="23">
        <v>10</v>
      </c>
      <c r="J20" s="20">
        <f t="shared" si="0"/>
        <v>0.9</v>
      </c>
      <c r="K20" s="20">
        <f t="shared" si="1"/>
        <v>0.83333333333333337</v>
      </c>
      <c r="L20" s="20">
        <f t="shared" si="2"/>
        <v>1</v>
      </c>
      <c r="M20" s="20">
        <f t="shared" si="3"/>
        <v>0.75</v>
      </c>
      <c r="N20" s="21">
        <f t="shared" si="4"/>
        <v>3.6</v>
      </c>
      <c r="R20" s="27"/>
      <c r="Z20" s="86">
        <v>46119</v>
      </c>
    </row>
    <row r="21" spans="2:26" ht="18" customHeight="1">
      <c r="B21" s="22">
        <v>46118</v>
      </c>
      <c r="C21" s="23" t="s">
        <v>2</v>
      </c>
      <c r="D21" s="23">
        <v>12</v>
      </c>
      <c r="E21" s="23"/>
      <c r="F21" s="23">
        <v>1</v>
      </c>
      <c r="G21" s="23">
        <v>70</v>
      </c>
      <c r="H21" s="23">
        <v>0</v>
      </c>
      <c r="I21" s="19">
        <v>10</v>
      </c>
      <c r="J21" s="24">
        <f t="shared" si="0"/>
        <v>0.91666666666666663</v>
      </c>
      <c r="K21" s="24">
        <f t="shared" si="1"/>
        <v>0.63636363636363635</v>
      </c>
      <c r="L21" s="24">
        <f t="shared" si="2"/>
        <v>1</v>
      </c>
      <c r="M21" s="24">
        <f t="shared" si="3"/>
        <v>0.58333333333333326</v>
      </c>
      <c r="N21" s="25">
        <f t="shared" si="4"/>
        <v>11</v>
      </c>
      <c r="Z21" s="86">
        <v>46120</v>
      </c>
    </row>
    <row r="22" spans="2:26" ht="18" customHeight="1">
      <c r="B22" s="18">
        <v>46119</v>
      </c>
      <c r="C22" s="19" t="s">
        <v>13</v>
      </c>
      <c r="D22" s="19">
        <v>11</v>
      </c>
      <c r="E22" s="19"/>
      <c r="F22" s="19">
        <v>0.5</v>
      </c>
      <c r="G22" s="19">
        <v>120</v>
      </c>
      <c r="H22" s="19">
        <v>0</v>
      </c>
      <c r="I22" s="19">
        <v>15</v>
      </c>
      <c r="J22" s="20">
        <f t="shared" si="0"/>
        <v>0.95454545454545459</v>
      </c>
      <c r="K22" s="20">
        <f t="shared" si="1"/>
        <v>0.76190476190476186</v>
      </c>
      <c r="L22" s="20">
        <f t="shared" si="2"/>
        <v>1</v>
      </c>
      <c r="M22" s="20">
        <f t="shared" si="3"/>
        <v>0.72727272727272729</v>
      </c>
      <c r="N22" s="21">
        <f t="shared" si="4"/>
        <v>10.5</v>
      </c>
      <c r="Z22" s="86">
        <v>46121</v>
      </c>
    </row>
    <row r="23" spans="2:26" ht="18" customHeight="1">
      <c r="B23" s="28">
        <v>46120</v>
      </c>
      <c r="C23" s="29" t="s">
        <v>30</v>
      </c>
      <c r="D23" s="30">
        <v>4</v>
      </c>
      <c r="E23" s="30">
        <v>0</v>
      </c>
      <c r="F23" s="30">
        <v>0</v>
      </c>
      <c r="G23" s="30">
        <v>30</v>
      </c>
      <c r="H23" s="30">
        <v>0</v>
      </c>
      <c r="I23" s="30">
        <v>15</v>
      </c>
      <c r="J23" s="31">
        <f t="shared" si="0"/>
        <v>1</v>
      </c>
      <c r="K23" s="31">
        <f t="shared" si="1"/>
        <v>0.5</v>
      </c>
      <c r="L23" s="31">
        <f t="shared" si="2"/>
        <v>1</v>
      </c>
      <c r="M23" s="31">
        <f t="shared" si="3"/>
        <v>0.5</v>
      </c>
      <c r="N23" s="32">
        <f t="shared" si="4"/>
        <v>4</v>
      </c>
      <c r="Z23" s="86">
        <v>46122</v>
      </c>
    </row>
    <row r="24" spans="2:26" ht="18" customHeight="1">
      <c r="B24" s="18">
        <v>46121</v>
      </c>
      <c r="C24" s="19" t="s">
        <v>13</v>
      </c>
      <c r="D24" s="19">
        <v>11.6</v>
      </c>
      <c r="E24" s="19"/>
      <c r="F24" s="19">
        <v>1.6</v>
      </c>
      <c r="G24" s="19">
        <v>120</v>
      </c>
      <c r="H24" s="19">
        <v>0</v>
      </c>
      <c r="I24" s="19">
        <v>15</v>
      </c>
      <c r="J24" s="20">
        <f t="shared" si="0"/>
        <v>0.86206896551724144</v>
      </c>
      <c r="K24" s="20">
        <f t="shared" si="1"/>
        <v>0.8</v>
      </c>
      <c r="L24" s="20">
        <f t="shared" si="2"/>
        <v>1</v>
      </c>
      <c r="M24" s="20">
        <f t="shared" si="3"/>
        <v>0.68965517241379315</v>
      </c>
      <c r="N24" s="21">
        <f t="shared" si="4"/>
        <v>10</v>
      </c>
      <c r="Z24" s="86">
        <v>46123</v>
      </c>
    </row>
    <row r="25" spans="2:26" ht="18" customHeight="1">
      <c r="B25" s="22">
        <v>46122</v>
      </c>
      <c r="C25" s="23" t="s">
        <v>2</v>
      </c>
      <c r="D25" s="23">
        <v>11.5</v>
      </c>
      <c r="E25" s="23"/>
      <c r="F25" s="23">
        <v>1.1000000000000001</v>
      </c>
      <c r="G25" s="23">
        <v>60</v>
      </c>
      <c r="H25" s="23">
        <v>0</v>
      </c>
      <c r="I25" s="19">
        <v>10</v>
      </c>
      <c r="J25" s="24">
        <f t="shared" si="0"/>
        <v>0.90434782608695652</v>
      </c>
      <c r="K25" s="24">
        <f t="shared" si="1"/>
        <v>0.57692307692307687</v>
      </c>
      <c r="L25" s="24">
        <f t="shared" si="2"/>
        <v>1</v>
      </c>
      <c r="M25" s="24">
        <f t="shared" si="3"/>
        <v>0.52173913043478259</v>
      </c>
      <c r="N25" s="25">
        <f t="shared" si="4"/>
        <v>10.4</v>
      </c>
      <c r="Z25" s="86">
        <v>46125</v>
      </c>
    </row>
    <row r="26" spans="2:26" ht="18" customHeight="1">
      <c r="B26" s="18">
        <v>46123</v>
      </c>
      <c r="C26" s="33" t="s">
        <v>2</v>
      </c>
      <c r="D26" s="19">
        <v>3</v>
      </c>
      <c r="E26" s="19"/>
      <c r="F26" s="19">
        <v>0</v>
      </c>
      <c r="G26" s="19">
        <v>20</v>
      </c>
      <c r="H26" s="19">
        <v>0</v>
      </c>
      <c r="I26" s="23">
        <v>10</v>
      </c>
      <c r="J26" s="20">
        <f t="shared" si="0"/>
        <v>1</v>
      </c>
      <c r="K26" s="20">
        <f t="shared" si="1"/>
        <v>0.66666666666666663</v>
      </c>
      <c r="L26" s="20">
        <f t="shared" si="2"/>
        <v>1</v>
      </c>
      <c r="M26" s="20">
        <f t="shared" si="3"/>
        <v>0.66666666666666663</v>
      </c>
      <c r="N26" s="21">
        <f t="shared" si="4"/>
        <v>3</v>
      </c>
      <c r="Z26" s="86">
        <v>46126</v>
      </c>
    </row>
    <row r="27" spans="2:26" ht="18" customHeight="1">
      <c r="B27" s="22">
        <v>46125</v>
      </c>
      <c r="C27" s="23" t="s">
        <v>12</v>
      </c>
      <c r="D27" s="23">
        <v>9</v>
      </c>
      <c r="E27" s="23"/>
      <c r="F27" s="23">
        <v>0.5</v>
      </c>
      <c r="G27" s="23">
        <v>125</v>
      </c>
      <c r="H27" s="23">
        <v>0</v>
      </c>
      <c r="I27" s="19">
        <v>15</v>
      </c>
      <c r="J27" s="24">
        <f t="shared" si="0"/>
        <v>0.94444444444444442</v>
      </c>
      <c r="K27" s="24">
        <f t="shared" si="1"/>
        <v>0.98039215686274506</v>
      </c>
      <c r="L27" s="24">
        <f t="shared" si="2"/>
        <v>1</v>
      </c>
      <c r="M27" s="24">
        <f t="shared" si="3"/>
        <v>0.92592592592592582</v>
      </c>
      <c r="N27" s="25">
        <f t="shared" si="4"/>
        <v>8.5</v>
      </c>
      <c r="Z27" s="86">
        <v>46127</v>
      </c>
    </row>
    <row r="28" spans="2:26" ht="18" customHeight="1">
      <c r="B28" s="18">
        <v>46126</v>
      </c>
      <c r="C28" s="19" t="s">
        <v>12</v>
      </c>
      <c r="D28" s="19">
        <v>12</v>
      </c>
      <c r="E28" s="19"/>
      <c r="F28" s="19">
        <v>3.5</v>
      </c>
      <c r="G28" s="19">
        <v>100</v>
      </c>
      <c r="H28" s="19">
        <v>0</v>
      </c>
      <c r="I28" s="19">
        <v>15</v>
      </c>
      <c r="J28" s="20">
        <f t="shared" si="0"/>
        <v>0.70833333333333337</v>
      </c>
      <c r="K28" s="20">
        <f t="shared" si="1"/>
        <v>0.78431372549019607</v>
      </c>
      <c r="L28" s="20">
        <f t="shared" si="2"/>
        <v>1</v>
      </c>
      <c r="M28" s="20">
        <f t="shared" si="3"/>
        <v>0.55555555555555558</v>
      </c>
      <c r="N28" s="21">
        <f t="shared" si="4"/>
        <v>8.5</v>
      </c>
      <c r="Z28" s="86">
        <v>46128</v>
      </c>
    </row>
    <row r="29" spans="2:26" ht="18" customHeight="1">
      <c r="B29" s="22">
        <v>46127</v>
      </c>
      <c r="C29" s="23" t="s">
        <v>12</v>
      </c>
      <c r="D29" s="23">
        <v>15</v>
      </c>
      <c r="E29" s="23"/>
      <c r="F29" s="23">
        <v>1.5</v>
      </c>
      <c r="G29" s="23">
        <v>130</v>
      </c>
      <c r="H29" s="23">
        <v>0</v>
      </c>
      <c r="I29" s="23">
        <v>15</v>
      </c>
      <c r="J29" s="24">
        <f t="shared" si="0"/>
        <v>0.9</v>
      </c>
      <c r="K29" s="24">
        <f t="shared" si="1"/>
        <v>0.64197530864197527</v>
      </c>
      <c r="L29" s="24">
        <f t="shared" si="2"/>
        <v>1</v>
      </c>
      <c r="M29" s="24">
        <f t="shared" si="3"/>
        <v>0.57777777777777772</v>
      </c>
      <c r="N29" s="25">
        <f t="shared" si="4"/>
        <v>13.5</v>
      </c>
      <c r="Z29" s="86">
        <v>46129</v>
      </c>
    </row>
    <row r="30" spans="2:26" ht="18" customHeight="1">
      <c r="B30" s="18">
        <v>46128</v>
      </c>
      <c r="C30" s="19" t="s">
        <v>13</v>
      </c>
      <c r="D30" s="19">
        <v>11</v>
      </c>
      <c r="E30" s="19"/>
      <c r="F30" s="19">
        <v>0.8</v>
      </c>
      <c r="G30" s="19">
        <v>110</v>
      </c>
      <c r="H30" s="19">
        <v>0</v>
      </c>
      <c r="I30" s="19">
        <v>15</v>
      </c>
      <c r="J30" s="20">
        <f t="shared" si="0"/>
        <v>0.92727272727272725</v>
      </c>
      <c r="K30" s="20">
        <f t="shared" si="1"/>
        <v>0.71895424836601307</v>
      </c>
      <c r="L30" s="20">
        <f t="shared" si="2"/>
        <v>1</v>
      </c>
      <c r="M30" s="20">
        <f t="shared" si="3"/>
        <v>0.66666666666666663</v>
      </c>
      <c r="N30" s="21">
        <f t="shared" si="4"/>
        <v>10.199999999999999</v>
      </c>
      <c r="Z30" s="86">
        <v>46132</v>
      </c>
    </row>
    <row r="31" spans="2:26" ht="18" customHeight="1">
      <c r="B31" s="22">
        <v>46129</v>
      </c>
      <c r="C31" s="23" t="s">
        <v>2</v>
      </c>
      <c r="D31" s="23">
        <v>13</v>
      </c>
      <c r="E31" s="23"/>
      <c r="F31" s="23">
        <v>1</v>
      </c>
      <c r="G31" s="23">
        <v>70</v>
      </c>
      <c r="H31" s="23">
        <v>0</v>
      </c>
      <c r="I31" s="19">
        <v>10</v>
      </c>
      <c r="J31" s="24">
        <f t="shared" si="0"/>
        <v>0.92307692307692313</v>
      </c>
      <c r="K31" s="24">
        <f t="shared" si="1"/>
        <v>0.58333333333333337</v>
      </c>
      <c r="L31" s="24">
        <f t="shared" si="2"/>
        <v>1</v>
      </c>
      <c r="M31" s="24">
        <f t="shared" si="3"/>
        <v>0.53846153846153855</v>
      </c>
      <c r="N31" s="25">
        <f t="shared" si="4"/>
        <v>12</v>
      </c>
      <c r="Z31" s="86">
        <v>46133</v>
      </c>
    </row>
    <row r="32" spans="2:26" ht="18" customHeight="1">
      <c r="B32" s="18">
        <v>46132</v>
      </c>
      <c r="C32" s="19" t="s">
        <v>2</v>
      </c>
      <c r="D32" s="19">
        <v>12</v>
      </c>
      <c r="E32" s="19"/>
      <c r="F32" s="19">
        <v>1</v>
      </c>
      <c r="G32" s="19">
        <v>80</v>
      </c>
      <c r="H32" s="19">
        <v>0</v>
      </c>
      <c r="I32" s="23">
        <v>10</v>
      </c>
      <c r="J32" s="20">
        <f t="shared" si="0"/>
        <v>0.91666666666666663</v>
      </c>
      <c r="K32" s="20">
        <f t="shared" si="1"/>
        <v>0.72727272727272729</v>
      </c>
      <c r="L32" s="20">
        <f t="shared" si="2"/>
        <v>1</v>
      </c>
      <c r="M32" s="20">
        <f t="shared" si="3"/>
        <v>0.66666666666666663</v>
      </c>
      <c r="N32" s="21">
        <f t="shared" si="4"/>
        <v>11</v>
      </c>
      <c r="Z32" s="86">
        <v>46134</v>
      </c>
    </row>
    <row r="33" spans="2:26" ht="18" customHeight="1">
      <c r="B33" s="22">
        <v>46133</v>
      </c>
      <c r="C33" s="23" t="s">
        <v>13</v>
      </c>
      <c r="D33" s="23">
        <v>12</v>
      </c>
      <c r="E33" s="23"/>
      <c r="F33" s="23">
        <v>0.3</v>
      </c>
      <c r="G33" s="23">
        <v>120</v>
      </c>
      <c r="H33" s="23">
        <v>0</v>
      </c>
      <c r="I33" s="19">
        <v>15</v>
      </c>
      <c r="J33" s="24">
        <f t="shared" si="0"/>
        <v>0.97499999999999998</v>
      </c>
      <c r="K33" s="24">
        <f t="shared" si="1"/>
        <v>0.68376068376068377</v>
      </c>
      <c r="L33" s="24">
        <f t="shared" si="2"/>
        <v>1</v>
      </c>
      <c r="M33" s="24">
        <f t="shared" si="3"/>
        <v>0.66666666666666663</v>
      </c>
      <c r="N33" s="25">
        <f t="shared" si="4"/>
        <v>11.7</v>
      </c>
      <c r="Z33" s="86">
        <v>46135</v>
      </c>
    </row>
    <row r="34" spans="2:26" ht="18" customHeight="1">
      <c r="B34" s="18">
        <v>46134</v>
      </c>
      <c r="C34" s="19" t="s">
        <v>13</v>
      </c>
      <c r="D34" s="19">
        <v>13</v>
      </c>
      <c r="E34" s="19"/>
      <c r="F34" s="19">
        <v>0.5</v>
      </c>
      <c r="G34" s="19">
        <v>135</v>
      </c>
      <c r="H34" s="19">
        <v>0</v>
      </c>
      <c r="I34" s="19">
        <v>15</v>
      </c>
      <c r="J34" s="20">
        <f t="shared" si="0"/>
        <v>0.96153846153846156</v>
      </c>
      <c r="K34" s="20">
        <f t="shared" si="1"/>
        <v>0.72</v>
      </c>
      <c r="L34" s="20">
        <f t="shared" si="2"/>
        <v>1</v>
      </c>
      <c r="M34" s="20">
        <f t="shared" si="3"/>
        <v>0.69230769230769229</v>
      </c>
      <c r="N34" s="21">
        <f t="shared" si="4"/>
        <v>12.5</v>
      </c>
      <c r="Z34" s="86">
        <v>46136</v>
      </c>
    </row>
    <row r="35" spans="2:26" ht="18" customHeight="1">
      <c r="B35" s="22">
        <v>46135</v>
      </c>
      <c r="C35" s="23" t="s">
        <v>2</v>
      </c>
      <c r="D35" s="23">
        <v>13</v>
      </c>
      <c r="E35" s="23"/>
      <c r="F35" s="23">
        <v>0.8</v>
      </c>
      <c r="G35" s="23">
        <v>70</v>
      </c>
      <c r="H35" s="23">
        <v>0</v>
      </c>
      <c r="I35" s="23">
        <v>10</v>
      </c>
      <c r="J35" s="24">
        <f t="shared" si="0"/>
        <v>0.93846153846153846</v>
      </c>
      <c r="K35" s="24">
        <f t="shared" si="1"/>
        <v>0.57377049180327866</v>
      </c>
      <c r="L35" s="24">
        <f t="shared" si="2"/>
        <v>1</v>
      </c>
      <c r="M35" s="24">
        <f t="shared" si="3"/>
        <v>0.53846153846153844</v>
      </c>
      <c r="N35" s="25">
        <f t="shared" si="4"/>
        <v>12.2</v>
      </c>
      <c r="Z35" s="86">
        <v>46137</v>
      </c>
    </row>
    <row r="36" spans="2:26" ht="18" customHeight="1">
      <c r="B36" s="18">
        <v>46136</v>
      </c>
      <c r="C36" s="19" t="s">
        <v>13</v>
      </c>
      <c r="D36" s="19">
        <v>3</v>
      </c>
      <c r="E36" s="19"/>
      <c r="F36" s="19">
        <v>0</v>
      </c>
      <c r="G36" s="19">
        <v>30</v>
      </c>
      <c r="H36" s="19">
        <v>0</v>
      </c>
      <c r="I36" s="19">
        <v>15</v>
      </c>
      <c r="J36" s="20">
        <f t="shared" si="0"/>
        <v>1</v>
      </c>
      <c r="K36" s="20">
        <f t="shared" si="1"/>
        <v>0.66666666666666663</v>
      </c>
      <c r="L36" s="20">
        <f t="shared" si="2"/>
        <v>1</v>
      </c>
      <c r="M36" s="20">
        <f t="shared" si="3"/>
        <v>0.66666666666666663</v>
      </c>
      <c r="N36" s="21">
        <f t="shared" si="4"/>
        <v>3</v>
      </c>
      <c r="Z36" s="86">
        <v>46139</v>
      </c>
    </row>
    <row r="37" spans="2:26" ht="18" customHeight="1">
      <c r="B37" s="28">
        <v>46136</v>
      </c>
      <c r="C37" s="30" t="s">
        <v>14</v>
      </c>
      <c r="D37" s="30">
        <v>4</v>
      </c>
      <c r="E37" s="30">
        <v>0</v>
      </c>
      <c r="F37" s="30">
        <v>0</v>
      </c>
      <c r="G37" s="30">
        <v>30</v>
      </c>
      <c r="H37" s="30">
        <v>0</v>
      </c>
      <c r="I37" s="30">
        <v>15</v>
      </c>
      <c r="J37" s="31">
        <f t="shared" si="0"/>
        <v>1</v>
      </c>
      <c r="K37" s="31">
        <f t="shared" si="1"/>
        <v>0.5</v>
      </c>
      <c r="L37" s="31">
        <f t="shared" si="2"/>
        <v>1</v>
      </c>
      <c r="M37" s="31">
        <f t="shared" si="3"/>
        <v>0.5</v>
      </c>
      <c r="N37" s="32">
        <f t="shared" si="4"/>
        <v>4</v>
      </c>
      <c r="Z37" s="86">
        <v>46140</v>
      </c>
    </row>
    <row r="38" spans="2:26" ht="18" customHeight="1">
      <c r="B38" s="18">
        <v>46137</v>
      </c>
      <c r="C38" s="19" t="s">
        <v>2</v>
      </c>
      <c r="D38" s="19">
        <v>8.6999999999999993</v>
      </c>
      <c r="E38" s="19"/>
      <c r="F38" s="19">
        <v>2.1</v>
      </c>
      <c r="G38" s="19">
        <v>40</v>
      </c>
      <c r="H38" s="19">
        <v>0</v>
      </c>
      <c r="I38" s="23">
        <v>10</v>
      </c>
      <c r="J38" s="20">
        <f t="shared" si="0"/>
        <v>0.75862068965517249</v>
      </c>
      <c r="K38" s="20">
        <f t="shared" si="1"/>
        <v>0.60606060606060608</v>
      </c>
      <c r="L38" s="20">
        <f t="shared" si="2"/>
        <v>1</v>
      </c>
      <c r="M38" s="20">
        <f t="shared" si="3"/>
        <v>0.45977011494252878</v>
      </c>
      <c r="N38" s="21">
        <f t="shared" si="4"/>
        <v>6.6</v>
      </c>
      <c r="Z38" s="86">
        <v>46141</v>
      </c>
    </row>
    <row r="39" spans="2:26" ht="18" customHeight="1">
      <c r="B39" s="22">
        <v>46139</v>
      </c>
      <c r="C39" s="23" t="s">
        <v>12</v>
      </c>
      <c r="D39" s="23">
        <v>11.2</v>
      </c>
      <c r="E39" s="23"/>
      <c r="F39" s="23">
        <v>1</v>
      </c>
      <c r="G39" s="23">
        <v>120</v>
      </c>
      <c r="H39" s="23">
        <v>0</v>
      </c>
      <c r="I39" s="19">
        <v>15</v>
      </c>
      <c r="J39" s="24">
        <f t="shared" si="0"/>
        <v>0.9107142857142857</v>
      </c>
      <c r="K39" s="24">
        <f t="shared" si="1"/>
        <v>0.78431372549019607</v>
      </c>
      <c r="L39" s="24">
        <f t="shared" si="2"/>
        <v>1</v>
      </c>
      <c r="M39" s="24">
        <f t="shared" si="3"/>
        <v>0.7142857142857143</v>
      </c>
      <c r="N39" s="25">
        <f t="shared" si="4"/>
        <v>10.199999999999999</v>
      </c>
      <c r="Z39" s="86">
        <v>46142</v>
      </c>
    </row>
    <row r="40" spans="2:26" ht="18" customHeight="1">
      <c r="B40" s="18">
        <v>46140</v>
      </c>
      <c r="C40" s="19" t="s">
        <v>12</v>
      </c>
      <c r="D40" s="19">
        <v>13</v>
      </c>
      <c r="E40" s="19"/>
      <c r="F40" s="19">
        <v>2.5</v>
      </c>
      <c r="G40" s="19">
        <v>80</v>
      </c>
      <c r="H40" s="19">
        <v>0</v>
      </c>
      <c r="I40" s="19">
        <v>15</v>
      </c>
      <c r="J40" s="20">
        <f t="shared" si="0"/>
        <v>0.80769230769230771</v>
      </c>
      <c r="K40" s="20">
        <f t="shared" si="1"/>
        <v>0.50793650793650791</v>
      </c>
      <c r="L40" s="20">
        <f t="shared" si="2"/>
        <v>1</v>
      </c>
      <c r="M40" s="20">
        <f t="shared" si="3"/>
        <v>0.41025641025641024</v>
      </c>
      <c r="N40" s="21">
        <f t="shared" si="4"/>
        <v>10.5</v>
      </c>
    </row>
    <row r="41" spans="2:26" ht="18" customHeight="1">
      <c r="B41" s="22">
        <v>46141</v>
      </c>
      <c r="C41" s="23" t="s">
        <v>2</v>
      </c>
      <c r="D41" s="23">
        <v>10</v>
      </c>
      <c r="E41" s="23"/>
      <c r="F41" s="23">
        <v>1.2</v>
      </c>
      <c r="G41" s="23">
        <v>62.5</v>
      </c>
      <c r="H41" s="23">
        <v>0</v>
      </c>
      <c r="I41" s="23">
        <v>10</v>
      </c>
      <c r="J41" s="24">
        <f t="shared" si="0"/>
        <v>0.88000000000000012</v>
      </c>
      <c r="K41" s="24">
        <f t="shared" si="1"/>
        <v>0.71022727272727271</v>
      </c>
      <c r="L41" s="24">
        <f t="shared" si="2"/>
        <v>1</v>
      </c>
      <c r="M41" s="24">
        <f t="shared" si="3"/>
        <v>0.62500000000000011</v>
      </c>
      <c r="N41" s="25">
        <f t="shared" si="4"/>
        <v>8.8000000000000007</v>
      </c>
    </row>
    <row r="42" spans="2:26" ht="18" customHeight="1">
      <c r="B42" s="18">
        <v>46142</v>
      </c>
      <c r="C42" s="19" t="s">
        <v>13</v>
      </c>
      <c r="D42" s="19">
        <v>12</v>
      </c>
      <c r="E42" s="19"/>
      <c r="F42" s="19">
        <v>0</v>
      </c>
      <c r="G42" s="19">
        <v>120</v>
      </c>
      <c r="H42" s="19">
        <v>0</v>
      </c>
      <c r="I42" s="19">
        <v>15</v>
      </c>
      <c r="J42" s="20">
        <f t="shared" si="0"/>
        <v>1</v>
      </c>
      <c r="K42" s="20">
        <f t="shared" si="1"/>
        <v>0.66666666666666663</v>
      </c>
      <c r="L42" s="20">
        <f t="shared" si="2"/>
        <v>1</v>
      </c>
      <c r="M42" s="20">
        <f t="shared" si="3"/>
        <v>0.66666666666666663</v>
      </c>
      <c r="N42" s="21">
        <f t="shared" si="4"/>
        <v>12</v>
      </c>
    </row>
    <row r="43" spans="2:26" ht="18" customHeight="1">
      <c r="B43" s="22"/>
      <c r="C43" s="23"/>
      <c r="D43" s="23"/>
      <c r="E43" s="23"/>
      <c r="F43" s="23"/>
      <c r="G43" s="23"/>
      <c r="H43" s="23"/>
      <c r="I43" s="23"/>
      <c r="J43" s="24" t="str">
        <f t="shared" si="0"/>
        <v/>
      </c>
      <c r="K43" s="24" t="str">
        <f t="shared" si="1"/>
        <v/>
      </c>
      <c r="L43" s="24" t="str">
        <f t="shared" si="2"/>
        <v/>
      </c>
      <c r="M43" s="24" t="str">
        <f t="shared" si="3"/>
        <v/>
      </c>
      <c r="N43" s="25" t="str">
        <f t="shared" si="4"/>
        <v/>
      </c>
    </row>
  </sheetData>
  <mergeCells count="3">
    <mergeCell ref="B14:N14"/>
    <mergeCell ref="P3:U4"/>
    <mergeCell ref="B3:N4"/>
  </mergeCells>
  <dataValidations count="2">
    <dataValidation type="list" showDropDown="1" sqref="P14" xr:uid="{00000000-0002-0000-0000-000000000000}">
      <formula1>$Z$15:$Z$39</formula1>
    </dataValidation>
    <dataValidation type="list" allowBlank="1" errorTitle="Date invalide" error="Veuillez sélectionner une date valide dans la liste." promptTitle="Choix de la date" prompt="Sélectionnez une date" sqref="P14" xr:uid="{00000000-0002-0000-0000-000001000000}">
      <formula1>$B$15:$B$42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/>
  <dimension ref="B2:Z42"/>
  <sheetViews>
    <sheetView showGridLines="0" zoomScale="102" zoomScaleNormal="102" workbookViewId="0">
      <selection activeCell="P14" sqref="P14"/>
    </sheetView>
  </sheetViews>
  <sheetFormatPr baseColWidth="10" defaultColWidth="9.140625" defaultRowHeight="15"/>
  <cols>
    <col min="2" max="2" width="12" style="2" customWidth="1"/>
    <col min="3" max="3" width="20" customWidth="1"/>
    <col min="4" max="4" width="19.42578125" customWidth="1"/>
    <col min="5" max="6" width="15" customWidth="1"/>
    <col min="7" max="7" width="17.28515625" customWidth="1"/>
    <col min="8" max="9" width="12" customWidth="1"/>
    <col min="10" max="10" width="10" customWidth="1"/>
    <col min="11" max="11" width="19.42578125" customWidth="1"/>
    <col min="12" max="12" width="15.85546875" customWidth="1"/>
    <col min="13" max="13" width="13.5703125" customWidth="1"/>
    <col min="14" max="14" width="16.7109375" customWidth="1"/>
    <col min="15" max="15" width="7.28515625" style="34" customWidth="1"/>
    <col min="16" max="16" width="10.7109375" bestFit="1" customWidth="1"/>
    <col min="17" max="17" width="9.140625" style="33" customWidth="1"/>
    <col min="19" max="19" width="7.5703125" customWidth="1"/>
    <col min="20" max="20" width="1.42578125" customWidth="1"/>
    <col min="21" max="21" width="2.140625" customWidth="1"/>
    <col min="22" max="22" width="8.28515625" customWidth="1"/>
    <col min="23" max="23" width="14.28515625" customWidth="1"/>
  </cols>
  <sheetData>
    <row r="2" spans="2:26" ht="15.75" customHeight="1"/>
    <row r="3" spans="2:26" ht="15" customHeight="1">
      <c r="B3" s="105" t="s">
        <v>31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7"/>
      <c r="P3" s="100" t="s">
        <v>1</v>
      </c>
      <c r="Q3" s="104"/>
      <c r="R3" s="99"/>
      <c r="S3" s="99"/>
      <c r="T3" s="99"/>
      <c r="U3" s="99"/>
    </row>
    <row r="4" spans="2:26" ht="15" customHeight="1">
      <c r="B4" s="108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10"/>
      <c r="P4" s="99"/>
      <c r="Q4" s="104"/>
      <c r="R4" s="99"/>
      <c r="S4" s="99"/>
      <c r="T4" s="99"/>
      <c r="U4" s="99"/>
    </row>
    <row r="6" spans="2:26" ht="45" customHeight="1">
      <c r="C6" s="3">
        <v>2500</v>
      </c>
      <c r="D6" s="4">
        <f>IF(C6&gt;0, SUM(G15:G43)/C6, 0)</f>
        <v>0.85299999999999998</v>
      </c>
      <c r="F6" s="5">
        <f>IFERROR(AVERAGE(J15:J43), 0)</f>
        <v>0.87275465243676409</v>
      </c>
      <c r="G6" s="5">
        <f>IFERROR(AVERAGE(K15:K43), 0)</f>
        <v>0.63349540296989948</v>
      </c>
      <c r="H6" s="5">
        <f>IFERROR(AVERAGE(L15:L43), 0)</f>
        <v>0.99472609618009877</v>
      </c>
      <c r="I6" s="6">
        <f>IFERROR(AVERAGE(M15:M43), 0)</f>
        <v>0.55319066502446257</v>
      </c>
      <c r="K6" s="7">
        <f>SUM(G15:G43)</f>
        <v>2132.5</v>
      </c>
      <c r="L6" s="8">
        <f>SUM(H15:H43)</f>
        <v>11</v>
      </c>
      <c r="M6" s="1">
        <f>SUM(N15:N43)</f>
        <v>242.31999999999996</v>
      </c>
      <c r="Q6" s="9" t="s">
        <v>2</v>
      </c>
      <c r="R6" s="10">
        <f>SUMIF(C15:C90,Q6,G15:G130)</f>
        <v>440</v>
      </c>
      <c r="S6" s="11">
        <f>R6/SUM(R6:R9)</f>
        <v>0.20633059788980071</v>
      </c>
    </row>
    <row r="7" spans="2:26" ht="15" customHeight="1">
      <c r="C7" s="12" t="s">
        <v>3</v>
      </c>
      <c r="D7" s="12" t="s">
        <v>4</v>
      </c>
      <c r="F7" s="12" t="s">
        <v>5</v>
      </c>
      <c r="G7" s="12" t="s">
        <v>6</v>
      </c>
      <c r="H7" s="12" t="s">
        <v>7</v>
      </c>
      <c r="I7" s="12" t="s">
        <v>8</v>
      </c>
      <c r="K7" s="12" t="s">
        <v>9</v>
      </c>
      <c r="L7" s="12" t="s">
        <v>10</v>
      </c>
      <c r="M7" s="12" t="s">
        <v>11</v>
      </c>
      <c r="Q7" s="13" t="s">
        <v>12</v>
      </c>
      <c r="R7" s="10">
        <f>SUMIF(C15:C91,Q7,G15:G131)</f>
        <v>565</v>
      </c>
      <c r="S7" s="11">
        <f>R7/SUM(R6:R10)</f>
        <v>0.26494724501758499</v>
      </c>
    </row>
    <row r="8" spans="2:26" ht="15" customHeight="1">
      <c r="Q8" s="13" t="s">
        <v>13</v>
      </c>
      <c r="R8" s="10">
        <f>SUMIF(C15:C92,Q8,G15:G132)</f>
        <v>630</v>
      </c>
      <c r="S8" s="11">
        <f>R8/SUM(R6:R11)</f>
        <v>0.29542790152403281</v>
      </c>
    </row>
    <row r="9" spans="2:26" ht="15" customHeight="1">
      <c r="Q9" s="13" t="s">
        <v>14</v>
      </c>
      <c r="R9" s="10">
        <f>SUMIF(C15:C93,Q9,G15:G133)</f>
        <v>497.5</v>
      </c>
      <c r="S9" s="11">
        <f>R9/SUM(R6:R12)</f>
        <v>0.23329425556858147</v>
      </c>
    </row>
    <row r="10" spans="2:26" ht="16.5" customHeight="1">
      <c r="Q10" s="14"/>
      <c r="R10" s="15"/>
      <c r="S10" s="15"/>
    </row>
    <row r="11" spans="2:26" ht="15" customHeight="1">
      <c r="P11" s="103"/>
      <c r="Q11" s="104"/>
      <c r="R11" s="99"/>
      <c r="S11" s="99"/>
      <c r="T11" s="99"/>
      <c r="U11" s="99"/>
    </row>
    <row r="12" spans="2:26" ht="15" customHeight="1">
      <c r="P12" s="99"/>
      <c r="Q12" s="104"/>
      <c r="R12" s="99"/>
      <c r="S12" s="99"/>
      <c r="T12" s="99"/>
      <c r="U12" s="99"/>
      <c r="V12" s="35">
        <v>3</v>
      </c>
    </row>
    <row r="13" spans="2:26" ht="24.75" customHeight="1">
      <c r="B13" s="98" t="s">
        <v>16</v>
      </c>
      <c r="C13" s="99"/>
      <c r="D13" s="99"/>
      <c r="E13" s="99"/>
      <c r="F13" s="99"/>
      <c r="G13" s="99"/>
      <c r="H13" s="99"/>
      <c r="I13" s="99"/>
      <c r="J13" s="99"/>
      <c r="K13" s="99"/>
      <c r="L13" s="99"/>
      <c r="M13" s="99"/>
      <c r="N13" s="99"/>
      <c r="P13" t="s">
        <v>15</v>
      </c>
      <c r="Q13" s="111"/>
      <c r="R13" s="99"/>
    </row>
    <row r="14" spans="2:26" ht="19.5" customHeight="1">
      <c r="B14" s="16" t="s">
        <v>17</v>
      </c>
      <c r="C14" s="17" t="s">
        <v>18</v>
      </c>
      <c r="D14" s="17" t="s">
        <v>19</v>
      </c>
      <c r="E14" s="17" t="s">
        <v>20</v>
      </c>
      <c r="F14" s="17" t="s">
        <v>21</v>
      </c>
      <c r="G14" s="17" t="s">
        <v>22</v>
      </c>
      <c r="H14" s="17" t="s">
        <v>23</v>
      </c>
      <c r="I14" s="17" t="s">
        <v>24</v>
      </c>
      <c r="J14" s="17" t="s">
        <v>25</v>
      </c>
      <c r="K14" s="17" t="s">
        <v>26</v>
      </c>
      <c r="L14" s="17" t="s">
        <v>27</v>
      </c>
      <c r="M14" s="17" t="s">
        <v>28</v>
      </c>
      <c r="N14" s="17" t="s">
        <v>29</v>
      </c>
      <c r="O14" s="36"/>
      <c r="P14" s="86">
        <v>46172</v>
      </c>
      <c r="Q14" s="104"/>
      <c r="R14" s="99"/>
    </row>
    <row r="15" spans="2:26" ht="18" customHeight="1">
      <c r="B15" s="18">
        <v>46146</v>
      </c>
      <c r="C15" s="19" t="s">
        <v>2</v>
      </c>
      <c r="D15" s="19">
        <v>10.85</v>
      </c>
      <c r="E15" s="19">
        <v>0</v>
      </c>
      <c r="F15" s="19">
        <v>1</v>
      </c>
      <c r="G15" s="19">
        <v>65</v>
      </c>
      <c r="H15" s="19">
        <v>0</v>
      </c>
      <c r="I15" s="19">
        <v>10</v>
      </c>
      <c r="J15" s="20">
        <f t="shared" ref="J15:J42" si="0">IF(D15&gt;0, (D15-F15)/D15, "")</f>
        <v>0.90783410138248843</v>
      </c>
      <c r="K15" s="20">
        <f t="shared" ref="K15:K42" si="1">IF((D15-E15-F15)*I15&gt;0, G15/((D15-E15-F15)*I15), "")</f>
        <v>0.65989847715736039</v>
      </c>
      <c r="L15" s="20">
        <v>1</v>
      </c>
      <c r="M15" s="20">
        <f t="shared" ref="M15:M42" si="2">IF(AND(ISNUMBER(J15), ISNUMBER(K15), ISNUMBER(L15)), J15*K15*L15, "")</f>
        <v>0.59907834101382484</v>
      </c>
      <c r="N15" s="21">
        <f t="shared" ref="N15:N42" si="3">IF(D15&gt;0, D15-E15-F15, "")</f>
        <v>9.85</v>
      </c>
      <c r="O15" s="37"/>
      <c r="Z15" s="86">
        <v>46146</v>
      </c>
    </row>
    <row r="16" spans="2:26" ht="18" customHeight="1">
      <c r="B16" s="18">
        <v>46147</v>
      </c>
      <c r="C16" s="19" t="s">
        <v>12</v>
      </c>
      <c r="D16" s="19">
        <v>13.6</v>
      </c>
      <c r="E16" s="19">
        <v>0</v>
      </c>
      <c r="F16" s="19">
        <v>0.25</v>
      </c>
      <c r="G16" s="19">
        <v>150</v>
      </c>
      <c r="H16" s="19">
        <v>0</v>
      </c>
      <c r="I16" s="19">
        <v>15</v>
      </c>
      <c r="J16" s="20">
        <f t="shared" si="0"/>
        <v>0.98161764705882348</v>
      </c>
      <c r="K16" s="20">
        <f t="shared" si="1"/>
        <v>0.74906367041198507</v>
      </c>
      <c r="L16" s="20">
        <v>1</v>
      </c>
      <c r="M16" s="20">
        <f t="shared" si="2"/>
        <v>0.73529411764705888</v>
      </c>
      <c r="N16" s="21">
        <f t="shared" si="3"/>
        <v>13.35</v>
      </c>
      <c r="O16" s="37"/>
      <c r="Z16" s="86">
        <v>46147</v>
      </c>
    </row>
    <row r="17" spans="2:26" ht="18" customHeight="1">
      <c r="B17" s="18">
        <v>46148</v>
      </c>
      <c r="C17" s="19" t="s">
        <v>14</v>
      </c>
      <c r="D17" s="19">
        <v>13</v>
      </c>
      <c r="E17" s="19">
        <v>0</v>
      </c>
      <c r="F17" s="19">
        <v>0.3</v>
      </c>
      <c r="G17" s="19">
        <v>110</v>
      </c>
      <c r="H17" s="19">
        <v>3</v>
      </c>
      <c r="I17" s="19">
        <v>15</v>
      </c>
      <c r="J17" s="20">
        <f t="shared" si="0"/>
        <v>0.97692307692307689</v>
      </c>
      <c r="K17" s="20">
        <f t="shared" si="1"/>
        <v>0.57742782152230976</v>
      </c>
      <c r="L17" s="20">
        <f t="shared" ref="L17:L42" si="4">IF(G17&gt;0, (G17-H17)/G17, "")</f>
        <v>0.97272727272727277</v>
      </c>
      <c r="M17" s="20">
        <f t="shared" si="2"/>
        <v>0.54871794871794877</v>
      </c>
      <c r="N17" s="21">
        <f t="shared" si="3"/>
        <v>12.7</v>
      </c>
      <c r="O17" s="37"/>
      <c r="Z17" s="86">
        <v>46148</v>
      </c>
    </row>
    <row r="18" spans="2:26" ht="18" customHeight="1">
      <c r="B18" s="22">
        <v>46149</v>
      </c>
      <c r="C18" s="23" t="s">
        <v>14</v>
      </c>
      <c r="D18" s="23">
        <v>7</v>
      </c>
      <c r="E18" s="23">
        <v>0</v>
      </c>
      <c r="F18" s="23">
        <v>0.5</v>
      </c>
      <c r="G18" s="23">
        <v>60</v>
      </c>
      <c r="H18" s="23">
        <v>0</v>
      </c>
      <c r="I18" s="26">
        <v>15</v>
      </c>
      <c r="J18" s="20">
        <f t="shared" si="0"/>
        <v>0.9285714285714286</v>
      </c>
      <c r="K18" s="20">
        <f t="shared" si="1"/>
        <v>0.61538461538461542</v>
      </c>
      <c r="L18" s="20">
        <f t="shared" si="4"/>
        <v>1</v>
      </c>
      <c r="M18" s="20">
        <f t="shared" si="2"/>
        <v>0.57142857142857151</v>
      </c>
      <c r="N18" s="21">
        <f t="shared" si="3"/>
        <v>6.5</v>
      </c>
      <c r="O18" s="37"/>
      <c r="Z18" s="86">
        <v>46149</v>
      </c>
    </row>
    <row r="19" spans="2:26" ht="18" customHeight="1">
      <c r="B19" s="18">
        <v>46149</v>
      </c>
      <c r="C19" s="19" t="s">
        <v>13</v>
      </c>
      <c r="D19" s="19">
        <v>5</v>
      </c>
      <c r="E19" s="19">
        <v>0.5</v>
      </c>
      <c r="F19" s="19">
        <v>1</v>
      </c>
      <c r="G19" s="19">
        <v>40</v>
      </c>
      <c r="H19" s="19">
        <v>0</v>
      </c>
      <c r="I19" s="19">
        <v>15</v>
      </c>
      <c r="J19" s="20">
        <f t="shared" si="0"/>
        <v>0.8</v>
      </c>
      <c r="K19" s="20">
        <f t="shared" si="1"/>
        <v>0.76190476190476186</v>
      </c>
      <c r="L19" s="20">
        <f t="shared" si="4"/>
        <v>1</v>
      </c>
      <c r="M19" s="20">
        <f t="shared" si="2"/>
        <v>0.60952380952380958</v>
      </c>
      <c r="N19" s="21">
        <f t="shared" si="3"/>
        <v>3.5</v>
      </c>
      <c r="O19" s="37"/>
      <c r="Z19" s="86">
        <v>46150</v>
      </c>
    </row>
    <row r="20" spans="2:26" ht="18" customHeight="1">
      <c r="B20" s="22">
        <v>46150</v>
      </c>
      <c r="C20" s="23" t="s">
        <v>13</v>
      </c>
      <c r="D20" s="23">
        <v>12</v>
      </c>
      <c r="E20" s="23">
        <v>0</v>
      </c>
      <c r="F20" s="23">
        <v>0</v>
      </c>
      <c r="G20" s="23">
        <v>150</v>
      </c>
      <c r="H20" s="23">
        <v>0</v>
      </c>
      <c r="I20" s="26">
        <v>15</v>
      </c>
      <c r="J20" s="24">
        <f t="shared" si="0"/>
        <v>1</v>
      </c>
      <c r="K20" s="24">
        <f t="shared" si="1"/>
        <v>0.83333333333333337</v>
      </c>
      <c r="L20" s="20">
        <f t="shared" si="4"/>
        <v>1</v>
      </c>
      <c r="M20" s="20">
        <f t="shared" si="2"/>
        <v>0.83333333333333337</v>
      </c>
      <c r="N20" s="25">
        <f t="shared" si="3"/>
        <v>12</v>
      </c>
      <c r="O20" s="37"/>
      <c r="Z20" s="86">
        <v>46151</v>
      </c>
    </row>
    <row r="21" spans="2:26" ht="18" customHeight="1">
      <c r="B21" s="18">
        <v>46151</v>
      </c>
      <c r="C21" s="19" t="s">
        <v>14</v>
      </c>
      <c r="D21" s="19">
        <v>6</v>
      </c>
      <c r="E21" s="38">
        <v>0</v>
      </c>
      <c r="F21" s="23">
        <v>1</v>
      </c>
      <c r="G21" s="23">
        <v>60</v>
      </c>
      <c r="H21" s="19">
        <v>2</v>
      </c>
      <c r="I21" s="26">
        <v>15</v>
      </c>
      <c r="J21" s="24">
        <f t="shared" si="0"/>
        <v>0.83333333333333337</v>
      </c>
      <c r="K21" s="24">
        <f t="shared" si="1"/>
        <v>0.8</v>
      </c>
      <c r="L21" s="20">
        <f t="shared" si="4"/>
        <v>0.96666666666666667</v>
      </c>
      <c r="M21" s="20">
        <f t="shared" si="2"/>
        <v>0.64444444444444449</v>
      </c>
      <c r="N21" s="25">
        <f t="shared" si="3"/>
        <v>5</v>
      </c>
      <c r="O21" s="37"/>
      <c r="Z21" s="86">
        <v>46153</v>
      </c>
    </row>
    <row r="22" spans="2:26" ht="18" customHeight="1">
      <c r="B22" s="39">
        <v>46153</v>
      </c>
      <c r="C22" s="40" t="s">
        <v>12</v>
      </c>
      <c r="D22" s="26">
        <v>16</v>
      </c>
      <c r="E22" s="26">
        <v>0</v>
      </c>
      <c r="F22" s="26">
        <v>2</v>
      </c>
      <c r="G22" s="26">
        <v>140</v>
      </c>
      <c r="H22" s="26">
        <v>1</v>
      </c>
      <c r="I22" s="26">
        <v>15</v>
      </c>
      <c r="J22" s="24">
        <f t="shared" si="0"/>
        <v>0.875</v>
      </c>
      <c r="K22" s="24">
        <f t="shared" si="1"/>
        <v>0.66666666666666663</v>
      </c>
      <c r="L22" s="41">
        <f t="shared" si="4"/>
        <v>0.99285714285714288</v>
      </c>
      <c r="M22" s="41">
        <f t="shared" si="2"/>
        <v>0.57916666666666661</v>
      </c>
      <c r="N22" s="42">
        <f t="shared" si="3"/>
        <v>14</v>
      </c>
      <c r="O22" s="37"/>
      <c r="Z22" s="86">
        <v>46154</v>
      </c>
    </row>
    <row r="23" spans="2:26" ht="18" customHeight="1">
      <c r="B23" s="18">
        <v>46154</v>
      </c>
      <c r="C23" s="19" t="s">
        <v>2</v>
      </c>
      <c r="D23" s="19">
        <v>16</v>
      </c>
      <c r="E23" s="19">
        <v>0</v>
      </c>
      <c r="F23" s="19">
        <v>3</v>
      </c>
      <c r="G23" s="19">
        <v>75</v>
      </c>
      <c r="H23" s="19">
        <v>0</v>
      </c>
      <c r="I23" s="19">
        <v>10</v>
      </c>
      <c r="J23" s="24">
        <f t="shared" si="0"/>
        <v>0.8125</v>
      </c>
      <c r="K23" s="24">
        <f t="shared" si="1"/>
        <v>0.57692307692307687</v>
      </c>
      <c r="L23" s="41">
        <f t="shared" si="4"/>
        <v>1</v>
      </c>
      <c r="M23" s="41">
        <f t="shared" si="2"/>
        <v>0.46874999999999994</v>
      </c>
      <c r="N23" s="42">
        <f t="shared" si="3"/>
        <v>13</v>
      </c>
      <c r="O23" s="37"/>
      <c r="Z23" s="86">
        <v>46155</v>
      </c>
    </row>
    <row r="24" spans="2:26" ht="18" customHeight="1">
      <c r="B24" s="22">
        <v>46155</v>
      </c>
      <c r="C24" s="23" t="s">
        <v>2</v>
      </c>
      <c r="D24" s="23">
        <v>14</v>
      </c>
      <c r="E24" s="23">
        <v>0</v>
      </c>
      <c r="F24" s="23">
        <v>3</v>
      </c>
      <c r="G24" s="23">
        <v>75</v>
      </c>
      <c r="H24" s="23">
        <v>0</v>
      </c>
      <c r="I24" s="26">
        <v>10</v>
      </c>
      <c r="J24" s="24">
        <f t="shared" si="0"/>
        <v>0.7857142857142857</v>
      </c>
      <c r="K24" s="24">
        <f t="shared" si="1"/>
        <v>0.68181818181818177</v>
      </c>
      <c r="L24" s="24">
        <f t="shared" si="4"/>
        <v>1</v>
      </c>
      <c r="M24" s="41">
        <f t="shared" si="2"/>
        <v>0.5357142857142857</v>
      </c>
      <c r="N24" s="42">
        <f t="shared" si="3"/>
        <v>11</v>
      </c>
      <c r="O24" s="37"/>
      <c r="Z24" s="86">
        <v>46156</v>
      </c>
    </row>
    <row r="25" spans="2:26" ht="18" customHeight="1">
      <c r="B25" s="18">
        <v>46156</v>
      </c>
      <c r="C25" s="19" t="s">
        <v>13</v>
      </c>
      <c r="D25" s="19">
        <v>12</v>
      </c>
      <c r="E25" s="19">
        <v>0</v>
      </c>
      <c r="F25" s="19">
        <v>2</v>
      </c>
      <c r="G25" s="19">
        <v>120</v>
      </c>
      <c r="H25" s="19">
        <v>0</v>
      </c>
      <c r="I25" s="19">
        <v>15</v>
      </c>
      <c r="J25" s="20">
        <f t="shared" si="0"/>
        <v>0.83333333333333337</v>
      </c>
      <c r="K25" s="20">
        <f t="shared" si="1"/>
        <v>0.8</v>
      </c>
      <c r="L25" s="24">
        <f t="shared" si="4"/>
        <v>1</v>
      </c>
      <c r="M25" s="41">
        <f t="shared" si="2"/>
        <v>0.66666666666666674</v>
      </c>
      <c r="N25" s="21">
        <f t="shared" si="3"/>
        <v>10</v>
      </c>
      <c r="O25" s="37"/>
      <c r="Z25" s="86">
        <v>46157</v>
      </c>
    </row>
    <row r="26" spans="2:26" s="34" customFormat="1" ht="18" customHeight="1">
      <c r="B26" s="39">
        <v>46157</v>
      </c>
      <c r="C26" s="26" t="s">
        <v>2</v>
      </c>
      <c r="D26" s="26">
        <v>12</v>
      </c>
      <c r="E26" s="26">
        <v>0</v>
      </c>
      <c r="F26" s="26">
        <v>6</v>
      </c>
      <c r="G26" s="26">
        <v>35</v>
      </c>
      <c r="H26" s="26">
        <v>0</v>
      </c>
      <c r="I26" s="26">
        <v>10</v>
      </c>
      <c r="J26" s="20">
        <f t="shared" si="0"/>
        <v>0.5</v>
      </c>
      <c r="K26" s="20">
        <f t="shared" si="1"/>
        <v>0.58333333333333337</v>
      </c>
      <c r="L26" s="24">
        <f t="shared" si="4"/>
        <v>1</v>
      </c>
      <c r="M26" s="41">
        <f t="shared" si="2"/>
        <v>0.29166666666666669</v>
      </c>
      <c r="N26" s="21">
        <f t="shared" si="3"/>
        <v>6</v>
      </c>
      <c r="O26" s="37"/>
      <c r="Q26" s="43"/>
      <c r="Z26" s="86">
        <v>46158</v>
      </c>
    </row>
    <row r="27" spans="2:26" ht="18" customHeight="1">
      <c r="B27" s="18">
        <v>46158</v>
      </c>
      <c r="C27" s="19" t="s">
        <v>14</v>
      </c>
      <c r="D27" s="19">
        <v>7</v>
      </c>
      <c r="E27" s="19">
        <v>0</v>
      </c>
      <c r="F27" s="19">
        <v>2.2000000000000002</v>
      </c>
      <c r="G27" s="19">
        <v>30</v>
      </c>
      <c r="H27" s="19">
        <v>0</v>
      </c>
      <c r="I27" s="19">
        <v>15</v>
      </c>
      <c r="J27" s="20">
        <f t="shared" si="0"/>
        <v>0.68571428571428572</v>
      </c>
      <c r="K27" s="20">
        <f t="shared" si="1"/>
        <v>0.41666666666666669</v>
      </c>
      <c r="L27" s="24">
        <f t="shared" si="4"/>
        <v>1</v>
      </c>
      <c r="M27" s="41">
        <f t="shared" si="2"/>
        <v>0.28571428571428575</v>
      </c>
      <c r="N27" s="21">
        <f t="shared" si="3"/>
        <v>4.8</v>
      </c>
      <c r="O27" s="37"/>
      <c r="Z27" s="86">
        <v>46160</v>
      </c>
    </row>
    <row r="28" spans="2:26" ht="18" customHeight="1">
      <c r="B28" s="22">
        <v>46160</v>
      </c>
      <c r="C28" s="23" t="s">
        <v>2</v>
      </c>
      <c r="D28" s="23">
        <v>9</v>
      </c>
      <c r="E28" s="23">
        <v>0</v>
      </c>
      <c r="F28" s="23">
        <v>2</v>
      </c>
      <c r="G28" s="23">
        <v>30</v>
      </c>
      <c r="H28" s="23">
        <v>0</v>
      </c>
      <c r="I28" s="23">
        <v>10</v>
      </c>
      <c r="J28" s="24">
        <f t="shared" si="0"/>
        <v>0.77777777777777779</v>
      </c>
      <c r="K28" s="24">
        <f t="shared" si="1"/>
        <v>0.42857142857142855</v>
      </c>
      <c r="L28" s="24">
        <f t="shared" si="4"/>
        <v>1</v>
      </c>
      <c r="M28" s="24">
        <f t="shared" si="2"/>
        <v>0.33333333333333331</v>
      </c>
      <c r="N28" s="25">
        <f t="shared" si="3"/>
        <v>7</v>
      </c>
      <c r="O28" s="37"/>
      <c r="Z28" s="86">
        <v>46161</v>
      </c>
    </row>
    <row r="29" spans="2:26" ht="18" customHeight="1">
      <c r="B29" s="18">
        <v>46160</v>
      </c>
      <c r="C29" s="19" t="s">
        <v>13</v>
      </c>
      <c r="D29" s="19">
        <v>5</v>
      </c>
      <c r="E29" s="19">
        <v>0</v>
      </c>
      <c r="F29" s="19">
        <v>0.3</v>
      </c>
      <c r="G29" s="19">
        <v>40</v>
      </c>
      <c r="H29" s="19">
        <v>0</v>
      </c>
      <c r="I29" s="19">
        <v>15</v>
      </c>
      <c r="J29" s="24">
        <f t="shared" si="0"/>
        <v>0.94000000000000006</v>
      </c>
      <c r="K29" s="24">
        <f t="shared" si="1"/>
        <v>0.56737588652482274</v>
      </c>
      <c r="L29" s="24">
        <f t="shared" si="4"/>
        <v>1</v>
      </c>
      <c r="M29" s="24">
        <f t="shared" si="2"/>
        <v>0.53333333333333344</v>
      </c>
      <c r="N29" s="25">
        <f t="shared" si="3"/>
        <v>4.7</v>
      </c>
      <c r="O29" s="37"/>
      <c r="Z29" s="86">
        <v>46162</v>
      </c>
    </row>
    <row r="30" spans="2:26" s="34" customFormat="1" ht="18" customHeight="1">
      <c r="B30" s="39">
        <v>46161</v>
      </c>
      <c r="C30" s="26" t="s">
        <v>12</v>
      </c>
      <c r="D30" s="26">
        <v>16</v>
      </c>
      <c r="E30" s="26">
        <v>0</v>
      </c>
      <c r="F30" s="26">
        <v>1</v>
      </c>
      <c r="G30" s="26">
        <v>140</v>
      </c>
      <c r="H30" s="26">
        <v>0</v>
      </c>
      <c r="I30" s="26">
        <v>15</v>
      </c>
      <c r="J30" s="41">
        <f t="shared" si="0"/>
        <v>0.9375</v>
      </c>
      <c r="K30" s="41">
        <f t="shared" si="1"/>
        <v>0.62222222222222223</v>
      </c>
      <c r="L30" s="41">
        <f t="shared" si="4"/>
        <v>1</v>
      </c>
      <c r="M30" s="41">
        <f t="shared" si="2"/>
        <v>0.58333333333333337</v>
      </c>
      <c r="N30" s="42">
        <f t="shared" si="3"/>
        <v>15</v>
      </c>
      <c r="O30" s="37"/>
      <c r="Q30" s="43"/>
      <c r="Z30" s="86">
        <v>46163</v>
      </c>
    </row>
    <row r="31" spans="2:26" ht="18" customHeight="1">
      <c r="B31" s="18">
        <v>46162</v>
      </c>
      <c r="C31" s="19" t="s">
        <v>14</v>
      </c>
      <c r="D31" s="19">
        <v>8</v>
      </c>
      <c r="E31" s="19">
        <v>0</v>
      </c>
      <c r="F31" s="19">
        <v>1.7</v>
      </c>
      <c r="G31" s="19">
        <v>47.5</v>
      </c>
      <c r="H31" s="19">
        <v>2</v>
      </c>
      <c r="I31" s="19">
        <v>15</v>
      </c>
      <c r="J31" s="41">
        <f t="shared" si="0"/>
        <v>0.78749999999999998</v>
      </c>
      <c r="K31" s="41">
        <f t="shared" si="1"/>
        <v>0.50264550264550267</v>
      </c>
      <c r="L31" s="41">
        <f t="shared" si="4"/>
        <v>0.95789473684210524</v>
      </c>
      <c r="M31" s="41">
        <f t="shared" si="2"/>
        <v>0.37916666666666671</v>
      </c>
      <c r="N31" s="42">
        <f t="shared" si="3"/>
        <v>6.3</v>
      </c>
      <c r="O31" s="37"/>
      <c r="Z31" s="86">
        <v>46164</v>
      </c>
    </row>
    <row r="32" spans="2:26" s="34" customFormat="1" ht="18" customHeight="1">
      <c r="B32" s="39">
        <v>46162</v>
      </c>
      <c r="C32" s="26" t="s">
        <v>13</v>
      </c>
      <c r="D32" s="26">
        <v>6</v>
      </c>
      <c r="E32" s="26">
        <v>0</v>
      </c>
      <c r="F32" s="26">
        <v>0</v>
      </c>
      <c r="G32" s="26">
        <v>40</v>
      </c>
      <c r="H32" s="26">
        <v>0</v>
      </c>
      <c r="I32" s="26">
        <v>15</v>
      </c>
      <c r="J32" s="41">
        <f t="shared" si="0"/>
        <v>1</v>
      </c>
      <c r="K32" s="41">
        <f t="shared" si="1"/>
        <v>0.44444444444444442</v>
      </c>
      <c r="L32" s="41">
        <f t="shared" si="4"/>
        <v>1</v>
      </c>
      <c r="M32" s="41">
        <f t="shared" si="2"/>
        <v>0.44444444444444442</v>
      </c>
      <c r="N32" s="42">
        <f t="shared" si="3"/>
        <v>6</v>
      </c>
      <c r="O32" s="37"/>
      <c r="Q32" s="43"/>
      <c r="Z32" s="86">
        <v>46165</v>
      </c>
    </row>
    <row r="33" spans="2:26" ht="18" customHeight="1">
      <c r="B33" s="18">
        <v>46163</v>
      </c>
      <c r="C33" s="19" t="s">
        <v>2</v>
      </c>
      <c r="D33" s="19">
        <v>14</v>
      </c>
      <c r="E33" s="19">
        <v>0</v>
      </c>
      <c r="F33" s="19">
        <v>0.5</v>
      </c>
      <c r="G33" s="19">
        <v>90</v>
      </c>
      <c r="H33" s="19">
        <v>0</v>
      </c>
      <c r="I33" s="19">
        <v>10</v>
      </c>
      <c r="J33" s="41">
        <f t="shared" si="0"/>
        <v>0.9642857142857143</v>
      </c>
      <c r="K33" s="41">
        <f t="shared" si="1"/>
        <v>0.66666666666666663</v>
      </c>
      <c r="L33" s="41">
        <f t="shared" si="4"/>
        <v>1</v>
      </c>
      <c r="M33" s="41">
        <f t="shared" si="2"/>
        <v>0.64285714285714279</v>
      </c>
      <c r="N33" s="42">
        <f t="shared" si="3"/>
        <v>13.5</v>
      </c>
      <c r="O33" s="37"/>
      <c r="Z33" s="86">
        <v>46166</v>
      </c>
    </row>
    <row r="34" spans="2:26" ht="18" customHeight="1">
      <c r="B34" s="22">
        <v>46164</v>
      </c>
      <c r="C34" s="23" t="s">
        <v>13</v>
      </c>
      <c r="D34" s="23">
        <v>15</v>
      </c>
      <c r="E34" s="23">
        <v>0</v>
      </c>
      <c r="F34" s="23">
        <v>0.4</v>
      </c>
      <c r="G34" s="23">
        <v>150</v>
      </c>
      <c r="H34" s="23">
        <v>0</v>
      </c>
      <c r="I34" s="23">
        <v>15</v>
      </c>
      <c r="J34" s="24">
        <f t="shared" si="0"/>
        <v>0.97333333333333327</v>
      </c>
      <c r="K34" s="24">
        <f t="shared" si="1"/>
        <v>0.68493150684931503</v>
      </c>
      <c r="L34" s="24">
        <f t="shared" si="4"/>
        <v>1</v>
      </c>
      <c r="M34" s="24">
        <f t="shared" si="2"/>
        <v>0.66666666666666663</v>
      </c>
      <c r="N34" s="25">
        <f t="shared" si="3"/>
        <v>14.6</v>
      </c>
      <c r="O34" s="37"/>
      <c r="Z34" s="86">
        <v>46167</v>
      </c>
    </row>
    <row r="35" spans="2:26" ht="18" customHeight="1">
      <c r="B35" s="18">
        <v>46165</v>
      </c>
      <c r="C35" s="19" t="s">
        <v>14</v>
      </c>
      <c r="D35" s="19">
        <v>7.8</v>
      </c>
      <c r="E35" s="19">
        <v>0</v>
      </c>
      <c r="F35" s="19">
        <v>0.85</v>
      </c>
      <c r="G35" s="19">
        <v>85</v>
      </c>
      <c r="H35" s="19">
        <v>2</v>
      </c>
      <c r="I35" s="19">
        <v>15</v>
      </c>
      <c r="J35" s="24">
        <f t="shared" si="0"/>
        <v>0.89102564102564108</v>
      </c>
      <c r="K35" s="24">
        <f t="shared" si="1"/>
        <v>0.815347721822542</v>
      </c>
      <c r="L35" s="24">
        <f t="shared" si="4"/>
        <v>0.97647058823529409</v>
      </c>
      <c r="M35" s="24">
        <f t="shared" si="2"/>
        <v>0.70940170940170943</v>
      </c>
      <c r="N35" s="25">
        <f t="shared" si="3"/>
        <v>6.95</v>
      </c>
      <c r="O35" s="37"/>
      <c r="Z35" s="86">
        <v>46168</v>
      </c>
    </row>
    <row r="36" spans="2:26" ht="18" customHeight="1">
      <c r="B36" s="39">
        <v>46166</v>
      </c>
      <c r="C36" s="26" t="s">
        <v>12</v>
      </c>
      <c r="D36" s="26">
        <v>13.2</v>
      </c>
      <c r="E36" s="26">
        <v>0</v>
      </c>
      <c r="F36" s="26">
        <v>0.5</v>
      </c>
      <c r="G36" s="26">
        <v>135</v>
      </c>
      <c r="H36" s="26">
        <v>0</v>
      </c>
      <c r="I36" s="26">
        <v>15</v>
      </c>
      <c r="J36" s="41">
        <f t="shared" si="0"/>
        <v>0.96212121212121215</v>
      </c>
      <c r="K36" s="41">
        <f t="shared" si="1"/>
        <v>0.70866141732283461</v>
      </c>
      <c r="L36" s="41">
        <f t="shared" si="4"/>
        <v>1</v>
      </c>
      <c r="M36" s="41">
        <f t="shared" si="2"/>
        <v>0.68181818181818177</v>
      </c>
      <c r="N36" s="42">
        <f t="shared" si="3"/>
        <v>12.7</v>
      </c>
      <c r="O36" s="37"/>
      <c r="Z36" s="86">
        <v>46171</v>
      </c>
    </row>
    <row r="37" spans="2:26" ht="18" customHeight="1">
      <c r="B37" s="18">
        <v>46167</v>
      </c>
      <c r="C37" s="19" t="s">
        <v>13</v>
      </c>
      <c r="D37" s="19">
        <v>4.5</v>
      </c>
      <c r="E37" s="19">
        <v>0</v>
      </c>
      <c r="F37" s="19">
        <v>0.67</v>
      </c>
      <c r="G37" s="19">
        <v>30</v>
      </c>
      <c r="H37" s="19">
        <v>0</v>
      </c>
      <c r="I37" s="19">
        <v>15</v>
      </c>
      <c r="J37" s="41">
        <f t="shared" si="0"/>
        <v>0.85111111111111115</v>
      </c>
      <c r="K37" s="41">
        <f t="shared" si="1"/>
        <v>0.5221932114882506</v>
      </c>
      <c r="L37" s="41">
        <f t="shared" si="4"/>
        <v>1</v>
      </c>
      <c r="M37" s="41">
        <f t="shared" si="2"/>
        <v>0.44444444444444442</v>
      </c>
      <c r="N37" s="42">
        <f t="shared" si="3"/>
        <v>3.83</v>
      </c>
      <c r="O37" s="44"/>
      <c r="Z37" s="86">
        <v>46172</v>
      </c>
    </row>
    <row r="38" spans="2:26" ht="18" customHeight="1">
      <c r="B38" s="22">
        <v>46167</v>
      </c>
      <c r="C38" s="23" t="s">
        <v>14</v>
      </c>
      <c r="D38" s="23">
        <v>8.8000000000000007</v>
      </c>
      <c r="E38" s="23">
        <v>0.5</v>
      </c>
      <c r="F38" s="23">
        <v>0.5</v>
      </c>
      <c r="G38" s="23">
        <v>70</v>
      </c>
      <c r="H38" s="23">
        <v>1</v>
      </c>
      <c r="I38" s="23">
        <v>15</v>
      </c>
      <c r="J38" s="41">
        <f t="shared" si="0"/>
        <v>0.94318181818181823</v>
      </c>
      <c r="K38" s="24">
        <f t="shared" si="1"/>
        <v>0.59829059829059816</v>
      </c>
      <c r="L38" s="24">
        <f t="shared" si="4"/>
        <v>0.98571428571428577</v>
      </c>
      <c r="M38" s="24">
        <f t="shared" si="2"/>
        <v>0.55623543123543118</v>
      </c>
      <c r="N38" s="25">
        <f t="shared" si="3"/>
        <v>7.8000000000000007</v>
      </c>
      <c r="O38" s="44"/>
    </row>
    <row r="39" spans="2:26" ht="18" customHeight="1">
      <c r="B39" s="18">
        <v>46168</v>
      </c>
      <c r="C39" s="19" t="s">
        <v>2</v>
      </c>
      <c r="D39" s="19">
        <v>5</v>
      </c>
      <c r="E39" s="19">
        <v>0</v>
      </c>
      <c r="F39" s="19">
        <v>0.5</v>
      </c>
      <c r="G39" s="19">
        <v>30</v>
      </c>
      <c r="H39" s="19">
        <v>0</v>
      </c>
      <c r="I39" s="19">
        <v>10</v>
      </c>
      <c r="J39" s="41">
        <f t="shared" si="0"/>
        <v>0.9</v>
      </c>
      <c r="K39" s="24">
        <f t="shared" si="1"/>
        <v>0.66666666666666663</v>
      </c>
      <c r="L39" s="24">
        <f t="shared" si="4"/>
        <v>1</v>
      </c>
      <c r="M39" s="24">
        <f t="shared" si="2"/>
        <v>0.6</v>
      </c>
      <c r="N39" s="25">
        <f t="shared" si="3"/>
        <v>4.5</v>
      </c>
      <c r="O39" s="37"/>
    </row>
    <row r="40" spans="2:26" ht="18" customHeight="1">
      <c r="B40" s="22">
        <v>46171</v>
      </c>
      <c r="C40" s="23" t="s">
        <v>13</v>
      </c>
      <c r="D40" s="23">
        <v>9.3800000000000008</v>
      </c>
      <c r="E40" s="23">
        <v>0</v>
      </c>
      <c r="F40" s="23">
        <v>1.4</v>
      </c>
      <c r="G40" s="23">
        <v>60</v>
      </c>
      <c r="H40" s="23">
        <v>0</v>
      </c>
      <c r="I40" s="23">
        <v>15</v>
      </c>
      <c r="J40" s="24">
        <f t="shared" si="0"/>
        <v>0.85074626865671643</v>
      </c>
      <c r="K40" s="24">
        <f t="shared" si="1"/>
        <v>0.50125313283208017</v>
      </c>
      <c r="L40" s="24">
        <f t="shared" si="4"/>
        <v>1</v>
      </c>
      <c r="M40" s="24">
        <f t="shared" si="2"/>
        <v>0.42643923240938164</v>
      </c>
      <c r="N40" s="25">
        <f t="shared" si="3"/>
        <v>7.98</v>
      </c>
      <c r="O40" s="37"/>
    </row>
    <row r="41" spans="2:26" ht="18" customHeight="1">
      <c r="B41" s="18">
        <v>46171</v>
      </c>
      <c r="C41" s="19" t="s">
        <v>14</v>
      </c>
      <c r="D41" s="19">
        <v>5</v>
      </c>
      <c r="E41" s="19">
        <v>0.5</v>
      </c>
      <c r="F41" s="19">
        <v>0.72</v>
      </c>
      <c r="G41" s="19">
        <v>35</v>
      </c>
      <c r="H41" s="19">
        <v>0</v>
      </c>
      <c r="I41" s="19">
        <v>15</v>
      </c>
      <c r="J41" s="24">
        <f t="shared" si="0"/>
        <v>0.85600000000000009</v>
      </c>
      <c r="K41" s="24">
        <f t="shared" si="1"/>
        <v>0.61728395061728392</v>
      </c>
      <c r="L41" s="24">
        <f t="shared" si="4"/>
        <v>1</v>
      </c>
      <c r="M41" s="24">
        <f t="shared" si="2"/>
        <v>0.52839506172839512</v>
      </c>
      <c r="N41" s="25">
        <f t="shared" si="3"/>
        <v>3.7800000000000002</v>
      </c>
      <c r="O41" s="37"/>
    </row>
    <row r="42" spans="2:26" ht="18" customHeight="1">
      <c r="B42" s="18">
        <v>46172</v>
      </c>
      <c r="C42" s="23" t="s">
        <v>2</v>
      </c>
      <c r="D42" s="23">
        <v>6.78</v>
      </c>
      <c r="E42" s="23">
        <v>0</v>
      </c>
      <c r="F42" s="23">
        <v>0.8</v>
      </c>
      <c r="G42" s="23">
        <v>40</v>
      </c>
      <c r="H42" s="23">
        <v>0</v>
      </c>
      <c r="I42" s="23">
        <v>10</v>
      </c>
      <c r="J42" s="24">
        <f t="shared" si="0"/>
        <v>0.88200589970501475</v>
      </c>
      <c r="K42" s="24">
        <f t="shared" si="1"/>
        <v>0.66889632107023411</v>
      </c>
      <c r="L42" s="24">
        <f t="shared" si="4"/>
        <v>1</v>
      </c>
      <c r="M42" s="24">
        <f t="shared" si="2"/>
        <v>0.58997050147492625</v>
      </c>
      <c r="N42" s="25">
        <f t="shared" si="3"/>
        <v>5.98</v>
      </c>
      <c r="O42" s="37"/>
    </row>
  </sheetData>
  <mergeCells count="5">
    <mergeCell ref="P11:U12"/>
    <mergeCell ref="B13:N13"/>
    <mergeCell ref="B3:N4"/>
    <mergeCell ref="P3:U4"/>
    <mergeCell ref="Q13:R14"/>
  </mergeCells>
  <dataValidations count="2">
    <dataValidation type="list" showDropDown="1" sqref="P14" xr:uid="{00000000-0002-0000-0100-000000000000}">
      <formula1>$Z$15:$Z$37</formula1>
    </dataValidation>
    <dataValidation type="list" allowBlank="1" errorTitle="Date invalide" error="Veuillez sélectionner une date valide dans la liste." promptTitle="Choix de la date" prompt="Sélectionnez une date" sqref="P14" xr:uid="{00000000-0002-0000-0100-000001000000}">
      <formula1>$B$15:$B$42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/>
  <dimension ref="B2:Z49"/>
  <sheetViews>
    <sheetView showGridLines="0" zoomScaleNormal="100" workbookViewId="0">
      <selection activeCell="B46" sqref="B46"/>
    </sheetView>
  </sheetViews>
  <sheetFormatPr baseColWidth="10" defaultColWidth="9.140625" defaultRowHeight="15"/>
  <cols>
    <col min="2" max="2" width="12" style="2" customWidth="1"/>
    <col min="3" max="3" width="20" customWidth="1"/>
    <col min="4" max="4" width="19.42578125" customWidth="1"/>
    <col min="5" max="6" width="15" customWidth="1"/>
    <col min="7" max="7" width="17.28515625" customWidth="1"/>
    <col min="8" max="9" width="12" customWidth="1"/>
    <col min="10" max="10" width="10" customWidth="1"/>
    <col min="11" max="11" width="19.42578125" customWidth="1"/>
    <col min="12" max="12" width="15.85546875" customWidth="1"/>
    <col min="13" max="13" width="13.5703125" customWidth="1"/>
    <col min="14" max="14" width="16.7109375" customWidth="1"/>
    <col min="15" max="15" width="7.28515625" style="34" customWidth="1"/>
    <col min="16" max="16" width="23.42578125" customWidth="1"/>
    <col min="17" max="17" width="9.140625" style="33" customWidth="1"/>
    <col min="19" max="19" width="7.5703125" customWidth="1"/>
    <col min="20" max="20" width="1.42578125" customWidth="1"/>
    <col min="21" max="21" width="2.140625" customWidth="1"/>
    <col min="22" max="22" width="8.28515625" customWidth="1"/>
    <col min="23" max="23" width="14.28515625" customWidth="1"/>
  </cols>
  <sheetData>
    <row r="2" spans="2:26" ht="15.75" customHeight="1"/>
    <row r="3" spans="2:26" ht="15" customHeight="1">
      <c r="B3" s="105" t="s">
        <v>32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7"/>
      <c r="P3" s="100" t="s">
        <v>1</v>
      </c>
      <c r="Q3" s="104"/>
      <c r="R3" s="99"/>
      <c r="S3" s="99"/>
      <c r="T3" s="99"/>
      <c r="U3" s="99"/>
    </row>
    <row r="4" spans="2:26" ht="15" customHeight="1">
      <c r="B4" s="108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10"/>
      <c r="P4" s="99"/>
      <c r="Q4" s="104"/>
      <c r="R4" s="99"/>
      <c r="S4" s="99"/>
      <c r="T4" s="99"/>
      <c r="U4" s="99"/>
    </row>
    <row r="6" spans="2:26" ht="45" customHeight="1">
      <c r="C6" s="3">
        <v>2500</v>
      </c>
      <c r="D6" s="4">
        <f>IF(C6&gt;0, SUM(G15:G49)/C6, 0)</f>
        <v>1.161</v>
      </c>
      <c r="F6" s="5">
        <f>IFERROR(AVERAGE(J15:J44), 0)</f>
        <v>0.91412704915166154</v>
      </c>
      <c r="G6" s="5">
        <f>IFERROR(AVERAGE(K15:K44), 0)</f>
        <v>0.6096834910104697</v>
      </c>
      <c r="H6" s="5">
        <f>IFERROR(AVERAGE(L15:L44), 0)</f>
        <v>0.97567702821869495</v>
      </c>
      <c r="I6" s="6">
        <f>IFERROR(AVERAGE(M15:M44), 0)</f>
        <v>0.54408591255704364</v>
      </c>
      <c r="K6" s="7">
        <f>SUM(G15:G49)</f>
        <v>2902.5</v>
      </c>
      <c r="L6" s="8">
        <f>SUM(H15:H49)</f>
        <v>49.5</v>
      </c>
      <c r="M6" s="1">
        <f>SUM(N15:N44)</f>
        <v>296.14999999999998</v>
      </c>
      <c r="Q6" s="9" t="s">
        <v>2</v>
      </c>
      <c r="R6" s="10">
        <f>SUMIF(C15:C91,Q6,G15:G131)</f>
        <v>577.5</v>
      </c>
      <c r="S6" s="11">
        <f>R6/SUM(R6:R9)</f>
        <v>0.19896640826873385</v>
      </c>
    </row>
    <row r="7" spans="2:26" ht="15" customHeight="1">
      <c r="C7" s="12" t="s">
        <v>3</v>
      </c>
      <c r="D7" s="12" t="s">
        <v>4</v>
      </c>
      <c r="F7" s="12" t="s">
        <v>5</v>
      </c>
      <c r="G7" s="12" t="s">
        <v>6</v>
      </c>
      <c r="H7" s="12" t="s">
        <v>7</v>
      </c>
      <c r="I7" s="12" t="s">
        <v>8</v>
      </c>
      <c r="K7" s="12" t="s">
        <v>9</v>
      </c>
      <c r="L7" s="12" t="s">
        <v>10</v>
      </c>
      <c r="M7" s="12" t="s">
        <v>11</v>
      </c>
      <c r="Q7" s="13" t="s">
        <v>12</v>
      </c>
      <c r="R7" s="10">
        <f>SUMIF(C15:C92,Q7,G15:G132)</f>
        <v>775</v>
      </c>
      <c r="S7" s="11">
        <f>R7/SUM(R6:R10)</f>
        <v>0.26701119724375538</v>
      </c>
    </row>
    <row r="8" spans="2:26" ht="15" customHeight="1">
      <c r="Q8" s="13" t="s">
        <v>13</v>
      </c>
      <c r="R8" s="10">
        <f>SUMIF(C15:C93,Q8,G15:G133)</f>
        <v>1115</v>
      </c>
      <c r="S8" s="11">
        <f>R8/SUM(R6:R11)</f>
        <v>0.38415159345391903</v>
      </c>
    </row>
    <row r="9" spans="2:26" ht="15" customHeight="1">
      <c r="Q9" s="13" t="s">
        <v>14</v>
      </c>
      <c r="R9" s="10">
        <f>SUMIF(C15:C94,Q9,G15:G134)</f>
        <v>435</v>
      </c>
      <c r="S9" s="11">
        <f>R9/SUM(R6:R12)</f>
        <v>0.14987080103359174</v>
      </c>
    </row>
    <row r="10" spans="2:26" ht="16.5" customHeight="1">
      <c r="Q10" s="14"/>
      <c r="R10" s="15"/>
      <c r="S10" s="15"/>
    </row>
    <row r="11" spans="2:26" ht="15" customHeight="1">
      <c r="P11" s="103"/>
      <c r="Q11" s="104"/>
      <c r="R11" s="99"/>
      <c r="S11" s="99"/>
      <c r="T11" s="99"/>
      <c r="U11" s="99"/>
    </row>
    <row r="12" spans="2:26" ht="15" customHeight="1">
      <c r="P12" s="99"/>
      <c r="Q12" s="104"/>
      <c r="R12" s="99"/>
      <c r="S12" s="99"/>
      <c r="T12" s="99"/>
      <c r="U12" s="99"/>
      <c r="V12" s="35">
        <v>3</v>
      </c>
    </row>
    <row r="13" spans="2:26" ht="24.75" customHeight="1">
      <c r="B13" s="112" t="s">
        <v>16</v>
      </c>
      <c r="C13" s="99"/>
      <c r="D13" s="99"/>
      <c r="E13" s="99"/>
      <c r="F13" s="99"/>
      <c r="G13" s="99"/>
      <c r="H13" s="99"/>
      <c r="I13" s="99"/>
      <c r="J13" s="99"/>
      <c r="K13" s="99"/>
      <c r="L13" s="99"/>
      <c r="M13" s="99"/>
      <c r="N13" s="99"/>
      <c r="P13" t="s">
        <v>15</v>
      </c>
      <c r="Q13" s="111"/>
      <c r="R13" s="99"/>
    </row>
    <row r="14" spans="2:26" ht="19.5" customHeight="1">
      <c r="B14" s="16" t="s">
        <v>17</v>
      </c>
      <c r="C14" s="17" t="s">
        <v>18</v>
      </c>
      <c r="D14" s="17" t="s">
        <v>19</v>
      </c>
      <c r="E14" s="17" t="s">
        <v>20</v>
      </c>
      <c r="F14" s="17" t="s">
        <v>21</v>
      </c>
      <c r="G14" s="17" t="s">
        <v>22</v>
      </c>
      <c r="H14" s="17" t="s">
        <v>23</v>
      </c>
      <c r="I14" s="17" t="s">
        <v>24</v>
      </c>
      <c r="J14" s="17" t="s">
        <v>25</v>
      </c>
      <c r="K14" s="17" t="s">
        <v>26</v>
      </c>
      <c r="L14" s="17" t="s">
        <v>27</v>
      </c>
      <c r="M14" s="17" t="s">
        <v>28</v>
      </c>
      <c r="N14" s="17" t="s">
        <v>29</v>
      </c>
      <c r="O14" s="36"/>
      <c r="P14" s="86">
        <v>46203</v>
      </c>
      <c r="Q14" s="104"/>
      <c r="R14" s="99"/>
    </row>
    <row r="15" spans="2:26" ht="18" customHeight="1">
      <c r="B15" s="18">
        <v>46174</v>
      </c>
      <c r="C15" s="19" t="s">
        <v>13</v>
      </c>
      <c r="D15" s="19">
        <v>7</v>
      </c>
      <c r="E15" s="19">
        <v>0</v>
      </c>
      <c r="F15" s="19">
        <v>1</v>
      </c>
      <c r="G15" s="19">
        <v>50</v>
      </c>
      <c r="H15" s="19">
        <v>0</v>
      </c>
      <c r="I15" s="19">
        <v>15</v>
      </c>
      <c r="J15" s="20">
        <f t="shared" ref="J15:J49" si="0">IF(D15&gt;0, (D15-F15)/D15, "")</f>
        <v>0.8571428571428571</v>
      </c>
      <c r="K15" s="20">
        <f t="shared" ref="K15:K49" si="1">IF((D15-E15-F15)*I15&gt;0, G15/((D15-E15-F15)*I15), "")</f>
        <v>0.55555555555555558</v>
      </c>
      <c r="L15" s="20">
        <v>1</v>
      </c>
      <c r="M15" s="20">
        <f t="shared" ref="M15:M49" si="2">IF(AND(ISNUMBER(J15), ISNUMBER(K15), ISNUMBER(L15)), J15*K15*L15, "")</f>
        <v>0.47619047619047616</v>
      </c>
      <c r="N15" s="21">
        <f t="shared" ref="N15:N49" si="3">IF(D15&gt;0, D15-E15-F15, "")</f>
        <v>6</v>
      </c>
      <c r="O15" s="37"/>
      <c r="P15" s="45"/>
      <c r="Z15" s="86">
        <v>46174</v>
      </c>
    </row>
    <row r="16" spans="2:26" ht="18" customHeight="1">
      <c r="B16" s="18">
        <v>46174</v>
      </c>
      <c r="C16" s="19" t="s">
        <v>12</v>
      </c>
      <c r="D16" s="19">
        <v>8</v>
      </c>
      <c r="E16" s="19">
        <v>1</v>
      </c>
      <c r="F16" s="19">
        <v>0.5</v>
      </c>
      <c r="G16" s="19">
        <v>50</v>
      </c>
      <c r="H16" s="19">
        <v>0</v>
      </c>
      <c r="I16" s="19">
        <v>15</v>
      </c>
      <c r="J16" s="20">
        <f t="shared" si="0"/>
        <v>0.9375</v>
      </c>
      <c r="K16" s="20">
        <f t="shared" si="1"/>
        <v>0.51282051282051277</v>
      </c>
      <c r="L16" s="20">
        <v>1</v>
      </c>
      <c r="M16" s="20">
        <f t="shared" si="2"/>
        <v>0.48076923076923073</v>
      </c>
      <c r="N16" s="21">
        <f t="shared" si="3"/>
        <v>6.5</v>
      </c>
      <c r="O16" s="37"/>
      <c r="P16" s="45"/>
      <c r="Z16" s="86">
        <v>46175</v>
      </c>
    </row>
    <row r="17" spans="2:26" ht="18" customHeight="1">
      <c r="B17" s="18">
        <v>46175</v>
      </c>
      <c r="C17" s="19" t="s">
        <v>12</v>
      </c>
      <c r="D17" s="19">
        <v>13</v>
      </c>
      <c r="E17" s="19">
        <v>0</v>
      </c>
      <c r="F17" s="19">
        <v>0.3</v>
      </c>
      <c r="G17" s="19">
        <v>115</v>
      </c>
      <c r="H17" s="19">
        <v>0</v>
      </c>
      <c r="I17" s="19">
        <v>15</v>
      </c>
      <c r="J17" s="20">
        <f t="shared" si="0"/>
        <v>0.97692307692307689</v>
      </c>
      <c r="K17" s="20">
        <f t="shared" si="1"/>
        <v>0.60367454068241466</v>
      </c>
      <c r="L17" s="20">
        <f>IF(G17&gt;0, (G17-H17)/G17, "")</f>
        <v>1</v>
      </c>
      <c r="M17" s="20">
        <f t="shared" si="2"/>
        <v>0.58974358974358965</v>
      </c>
      <c r="N17" s="21">
        <f t="shared" si="3"/>
        <v>12.7</v>
      </c>
      <c r="O17" s="37"/>
      <c r="P17" s="45"/>
      <c r="Z17" s="86">
        <v>46176</v>
      </c>
    </row>
    <row r="18" spans="2:26" ht="18" customHeight="1">
      <c r="B18" s="22">
        <v>46176</v>
      </c>
      <c r="C18" s="23" t="s">
        <v>13</v>
      </c>
      <c r="D18" s="23">
        <v>16</v>
      </c>
      <c r="E18" s="23">
        <v>0</v>
      </c>
      <c r="F18" s="23">
        <v>1.5</v>
      </c>
      <c r="G18" s="19">
        <v>120</v>
      </c>
      <c r="H18" s="19">
        <v>0</v>
      </c>
      <c r="I18" s="26">
        <v>15</v>
      </c>
      <c r="J18" s="20">
        <f t="shared" si="0"/>
        <v>0.90625</v>
      </c>
      <c r="K18" s="20">
        <f t="shared" si="1"/>
        <v>0.55172413793103448</v>
      </c>
      <c r="L18" s="20">
        <f>IF(G18&gt;0, (G18-H18)/G18, "")</f>
        <v>1</v>
      </c>
      <c r="M18" s="20">
        <f t="shared" si="2"/>
        <v>0.5</v>
      </c>
      <c r="N18" s="21">
        <f t="shared" si="3"/>
        <v>14.5</v>
      </c>
      <c r="O18" s="37"/>
      <c r="P18" s="45"/>
      <c r="Z18" s="86">
        <v>46177</v>
      </c>
    </row>
    <row r="19" spans="2:26" ht="18" customHeight="1">
      <c r="B19" s="18">
        <v>46177</v>
      </c>
      <c r="C19" s="19" t="s">
        <v>2</v>
      </c>
      <c r="D19" s="19">
        <v>17</v>
      </c>
      <c r="E19" s="19">
        <v>0</v>
      </c>
      <c r="F19" s="19">
        <v>2</v>
      </c>
      <c r="G19" s="19">
        <v>90</v>
      </c>
      <c r="H19" s="19">
        <v>0</v>
      </c>
      <c r="I19" s="19">
        <v>10</v>
      </c>
      <c r="J19" s="20">
        <f t="shared" si="0"/>
        <v>0.88235294117647056</v>
      </c>
      <c r="K19" s="20">
        <f t="shared" si="1"/>
        <v>0.6</v>
      </c>
      <c r="L19" s="20">
        <f>IF(G19&gt;0, (G19-H19)/G19, "")</f>
        <v>1</v>
      </c>
      <c r="M19" s="20">
        <f t="shared" si="2"/>
        <v>0.52941176470588236</v>
      </c>
      <c r="N19" s="21">
        <f t="shared" si="3"/>
        <v>15</v>
      </c>
      <c r="O19" s="37"/>
      <c r="P19" s="45"/>
      <c r="Z19" s="86">
        <v>46178</v>
      </c>
    </row>
    <row r="20" spans="2:26" ht="18" customHeight="1">
      <c r="B20" s="22">
        <v>46178</v>
      </c>
      <c r="C20" s="23" t="s">
        <v>14</v>
      </c>
      <c r="D20" s="23">
        <v>9</v>
      </c>
      <c r="E20" s="23">
        <v>0.5</v>
      </c>
      <c r="F20" s="23">
        <v>0</v>
      </c>
      <c r="G20" s="19">
        <v>80</v>
      </c>
      <c r="H20" s="19">
        <v>2</v>
      </c>
      <c r="I20" s="26">
        <v>15</v>
      </c>
      <c r="J20" s="24">
        <f t="shared" si="0"/>
        <v>1</v>
      </c>
      <c r="K20" s="24">
        <f t="shared" si="1"/>
        <v>0.62745098039215685</v>
      </c>
      <c r="L20" s="20">
        <f>IF(G20&gt;0, (G20-H20)/G20, "")</f>
        <v>0.97499999999999998</v>
      </c>
      <c r="M20" s="20">
        <f t="shared" si="2"/>
        <v>0.61176470588235288</v>
      </c>
      <c r="N20" s="25">
        <f t="shared" si="3"/>
        <v>8.5</v>
      </c>
      <c r="O20" s="37"/>
      <c r="P20" s="45"/>
      <c r="Z20" s="86">
        <v>46179</v>
      </c>
    </row>
    <row r="21" spans="2:26" ht="18" customHeight="1">
      <c r="B21" s="18">
        <v>46178</v>
      </c>
      <c r="C21" s="19" t="s">
        <v>13</v>
      </c>
      <c r="D21" s="19">
        <v>5</v>
      </c>
      <c r="E21" s="38">
        <v>0.5</v>
      </c>
      <c r="F21" s="23">
        <v>1</v>
      </c>
      <c r="G21" s="19">
        <v>35</v>
      </c>
      <c r="H21" s="19">
        <v>0</v>
      </c>
      <c r="I21" s="26">
        <v>15</v>
      </c>
      <c r="J21" s="24">
        <f t="shared" si="0"/>
        <v>0.8</v>
      </c>
      <c r="K21" s="24">
        <f t="shared" si="1"/>
        <v>0.66666666666666663</v>
      </c>
      <c r="L21" s="20">
        <v>1</v>
      </c>
      <c r="M21" s="20">
        <f t="shared" si="2"/>
        <v>0.53333333333333333</v>
      </c>
      <c r="N21" s="25">
        <f t="shared" si="3"/>
        <v>3.5</v>
      </c>
      <c r="O21" s="37"/>
      <c r="P21" s="45"/>
      <c r="Z21" s="86">
        <v>46180</v>
      </c>
    </row>
    <row r="22" spans="2:26" ht="18" customHeight="1">
      <c r="B22" s="39">
        <v>46179</v>
      </c>
      <c r="C22" s="40" t="s">
        <v>13</v>
      </c>
      <c r="D22" s="26">
        <v>15</v>
      </c>
      <c r="E22" s="26">
        <v>0</v>
      </c>
      <c r="F22" s="26">
        <v>1</v>
      </c>
      <c r="G22" s="19">
        <v>125</v>
      </c>
      <c r="H22" s="19">
        <v>0</v>
      </c>
      <c r="I22" s="26">
        <v>15</v>
      </c>
      <c r="J22" s="24">
        <f t="shared" si="0"/>
        <v>0.93333333333333335</v>
      </c>
      <c r="K22" s="24">
        <f t="shared" si="1"/>
        <v>0.59523809523809523</v>
      </c>
      <c r="L22" s="41">
        <v>1</v>
      </c>
      <c r="M22" s="41">
        <f t="shared" si="2"/>
        <v>0.55555555555555558</v>
      </c>
      <c r="N22" s="42">
        <f t="shared" si="3"/>
        <v>14</v>
      </c>
      <c r="O22" s="37"/>
      <c r="P22" s="45"/>
      <c r="Z22" s="86">
        <v>46181</v>
      </c>
    </row>
    <row r="23" spans="2:26" ht="18" customHeight="1">
      <c r="B23" s="18">
        <v>46180</v>
      </c>
      <c r="C23" s="19" t="s">
        <v>12</v>
      </c>
      <c r="D23" s="26">
        <v>14</v>
      </c>
      <c r="E23" s="26">
        <v>0</v>
      </c>
      <c r="F23" s="26">
        <v>0.5</v>
      </c>
      <c r="G23" s="19">
        <v>110</v>
      </c>
      <c r="H23" s="19">
        <v>0</v>
      </c>
      <c r="I23" s="19">
        <v>15</v>
      </c>
      <c r="J23" s="24">
        <f t="shared" si="0"/>
        <v>0.9642857142857143</v>
      </c>
      <c r="K23" s="24">
        <f t="shared" si="1"/>
        <v>0.54320987654320985</v>
      </c>
      <c r="L23" s="41">
        <f t="shared" ref="L23:L30" si="4">IF(G23&gt;0, (G23-H23)/G23, "")</f>
        <v>1</v>
      </c>
      <c r="M23" s="41">
        <f t="shared" si="2"/>
        <v>0.52380952380952384</v>
      </c>
      <c r="N23" s="42">
        <f t="shared" si="3"/>
        <v>13.5</v>
      </c>
      <c r="O23" s="37"/>
      <c r="P23" s="45"/>
      <c r="Z23" s="86">
        <v>46182</v>
      </c>
    </row>
    <row r="24" spans="2:26" ht="18" customHeight="1">
      <c r="B24" s="22">
        <v>46181</v>
      </c>
      <c r="C24" s="23" t="s">
        <v>2</v>
      </c>
      <c r="D24" s="26">
        <v>16</v>
      </c>
      <c r="E24" s="26">
        <v>0</v>
      </c>
      <c r="F24" s="26">
        <v>3</v>
      </c>
      <c r="G24" s="19">
        <v>67.5</v>
      </c>
      <c r="H24" s="19">
        <v>0.5</v>
      </c>
      <c r="I24" s="26">
        <v>10</v>
      </c>
      <c r="J24" s="24">
        <f t="shared" si="0"/>
        <v>0.8125</v>
      </c>
      <c r="K24" s="24">
        <f t="shared" si="1"/>
        <v>0.51923076923076927</v>
      </c>
      <c r="L24" s="24">
        <f t="shared" si="4"/>
        <v>0.99259259259259258</v>
      </c>
      <c r="M24" s="41">
        <f t="shared" si="2"/>
        <v>0.41875000000000007</v>
      </c>
      <c r="N24" s="42">
        <f t="shared" si="3"/>
        <v>13</v>
      </c>
      <c r="O24" s="37"/>
      <c r="P24" s="45"/>
      <c r="Z24" s="86">
        <v>46183</v>
      </c>
    </row>
    <row r="25" spans="2:26" ht="18" customHeight="1">
      <c r="B25" s="18">
        <v>46182</v>
      </c>
      <c r="C25" s="19" t="s">
        <v>2</v>
      </c>
      <c r="D25" s="26">
        <v>4</v>
      </c>
      <c r="E25" s="26">
        <v>0</v>
      </c>
      <c r="F25" s="26">
        <v>0.5</v>
      </c>
      <c r="G25" s="19">
        <v>20</v>
      </c>
      <c r="H25" s="19">
        <v>0</v>
      </c>
      <c r="I25" s="19">
        <v>10</v>
      </c>
      <c r="J25" s="20">
        <f t="shared" si="0"/>
        <v>0.875</v>
      </c>
      <c r="K25" s="20">
        <f t="shared" si="1"/>
        <v>0.5714285714285714</v>
      </c>
      <c r="L25" s="24">
        <f t="shared" si="4"/>
        <v>1</v>
      </c>
      <c r="M25" s="41">
        <f t="shared" si="2"/>
        <v>0.5</v>
      </c>
      <c r="N25" s="21">
        <f t="shared" si="3"/>
        <v>3.5</v>
      </c>
      <c r="O25" s="37"/>
      <c r="P25" s="45"/>
      <c r="Z25" s="86">
        <v>46184</v>
      </c>
    </row>
    <row r="26" spans="2:26" s="34" customFormat="1" ht="18" customHeight="1">
      <c r="B26" s="39">
        <v>46182</v>
      </c>
      <c r="C26" s="26" t="s">
        <v>14</v>
      </c>
      <c r="D26" s="26">
        <v>6</v>
      </c>
      <c r="E26" s="26">
        <v>0</v>
      </c>
      <c r="F26" s="26">
        <v>0</v>
      </c>
      <c r="G26" s="19">
        <v>50</v>
      </c>
      <c r="H26" s="19">
        <v>2</v>
      </c>
      <c r="I26" s="26">
        <v>15</v>
      </c>
      <c r="J26" s="20">
        <f t="shared" si="0"/>
        <v>1</v>
      </c>
      <c r="K26" s="20">
        <f t="shared" si="1"/>
        <v>0.55555555555555558</v>
      </c>
      <c r="L26" s="24">
        <f t="shared" si="4"/>
        <v>0.96</v>
      </c>
      <c r="M26" s="41">
        <f t="shared" si="2"/>
        <v>0.53333333333333333</v>
      </c>
      <c r="N26" s="21">
        <f t="shared" si="3"/>
        <v>6</v>
      </c>
      <c r="O26" s="37"/>
      <c r="P26" s="45"/>
      <c r="Q26" s="43"/>
      <c r="Z26" s="86">
        <v>46185</v>
      </c>
    </row>
    <row r="27" spans="2:26" ht="18" customHeight="1">
      <c r="B27" s="18">
        <v>46183</v>
      </c>
      <c r="C27" s="19" t="s">
        <v>13</v>
      </c>
      <c r="D27" s="26">
        <v>14.5</v>
      </c>
      <c r="E27" s="26">
        <v>0</v>
      </c>
      <c r="F27" s="26">
        <v>2</v>
      </c>
      <c r="G27" s="19">
        <v>150</v>
      </c>
      <c r="H27" s="19">
        <v>0</v>
      </c>
      <c r="I27" s="19">
        <v>15</v>
      </c>
      <c r="J27" s="20">
        <f t="shared" si="0"/>
        <v>0.86206896551724133</v>
      </c>
      <c r="K27" s="20">
        <f t="shared" si="1"/>
        <v>0.8</v>
      </c>
      <c r="L27" s="24">
        <f t="shared" si="4"/>
        <v>1</v>
      </c>
      <c r="M27" s="41">
        <f t="shared" si="2"/>
        <v>0.68965517241379315</v>
      </c>
      <c r="N27" s="21">
        <f t="shared" si="3"/>
        <v>12.5</v>
      </c>
      <c r="O27" s="37"/>
      <c r="P27" s="45"/>
      <c r="Z27" s="86">
        <v>46186</v>
      </c>
    </row>
    <row r="28" spans="2:26" ht="18" customHeight="1">
      <c r="B28" s="22">
        <v>46184</v>
      </c>
      <c r="C28" s="23" t="s">
        <v>2</v>
      </c>
      <c r="D28" s="26">
        <v>10</v>
      </c>
      <c r="E28" s="26">
        <v>0</v>
      </c>
      <c r="F28" s="26">
        <v>0.7</v>
      </c>
      <c r="G28" s="19">
        <v>60</v>
      </c>
      <c r="H28" s="19">
        <v>0.5</v>
      </c>
      <c r="I28" s="23">
        <v>10</v>
      </c>
      <c r="J28" s="24">
        <f t="shared" si="0"/>
        <v>0.93</v>
      </c>
      <c r="K28" s="24">
        <f t="shared" si="1"/>
        <v>0.64516129032258063</v>
      </c>
      <c r="L28" s="24">
        <f t="shared" si="4"/>
        <v>0.9916666666666667</v>
      </c>
      <c r="M28" s="24">
        <f t="shared" si="2"/>
        <v>0.59499999999999997</v>
      </c>
      <c r="N28" s="25">
        <f t="shared" si="3"/>
        <v>9.3000000000000007</v>
      </c>
      <c r="O28" s="37"/>
      <c r="P28" s="45"/>
      <c r="Z28" s="86">
        <v>46188</v>
      </c>
    </row>
    <row r="29" spans="2:26" ht="18" customHeight="1">
      <c r="B29" s="18">
        <v>46184</v>
      </c>
      <c r="C29" s="19" t="s">
        <v>14</v>
      </c>
      <c r="D29" s="26">
        <v>8</v>
      </c>
      <c r="E29" s="26">
        <v>0.5</v>
      </c>
      <c r="F29" s="26">
        <v>0</v>
      </c>
      <c r="G29" s="19">
        <v>70</v>
      </c>
      <c r="H29" s="19">
        <v>2</v>
      </c>
      <c r="I29" s="19">
        <v>15</v>
      </c>
      <c r="J29" s="24">
        <f t="shared" si="0"/>
        <v>1</v>
      </c>
      <c r="K29" s="24">
        <f t="shared" si="1"/>
        <v>0.62222222222222223</v>
      </c>
      <c r="L29" s="24">
        <f t="shared" si="4"/>
        <v>0.97142857142857142</v>
      </c>
      <c r="M29" s="24">
        <f t="shared" si="2"/>
        <v>0.60444444444444445</v>
      </c>
      <c r="N29" s="25">
        <f t="shared" si="3"/>
        <v>7.5</v>
      </c>
      <c r="O29" s="37"/>
      <c r="P29" s="45"/>
      <c r="Z29" s="86">
        <v>46189</v>
      </c>
    </row>
    <row r="30" spans="2:26" s="34" customFormat="1" ht="18" customHeight="1">
      <c r="B30" s="39">
        <v>46185</v>
      </c>
      <c r="C30" s="26" t="s">
        <v>12</v>
      </c>
      <c r="D30" s="26">
        <v>16</v>
      </c>
      <c r="E30" s="26">
        <v>0</v>
      </c>
      <c r="F30" s="26">
        <v>0.7</v>
      </c>
      <c r="G30" s="19">
        <v>140</v>
      </c>
      <c r="H30" s="19">
        <v>0.5</v>
      </c>
      <c r="I30" s="26">
        <v>15</v>
      </c>
      <c r="J30" s="41">
        <f t="shared" si="0"/>
        <v>0.95625000000000004</v>
      </c>
      <c r="K30" s="41">
        <f t="shared" si="1"/>
        <v>0.61002178649237471</v>
      </c>
      <c r="L30" s="41">
        <f t="shared" si="4"/>
        <v>0.99642857142857144</v>
      </c>
      <c r="M30" s="41">
        <f t="shared" si="2"/>
        <v>0.58125000000000004</v>
      </c>
      <c r="N30" s="42">
        <f t="shared" si="3"/>
        <v>15.3</v>
      </c>
      <c r="O30" s="37"/>
      <c r="P30" s="45"/>
      <c r="Q30" s="43"/>
      <c r="Z30" s="86">
        <v>46190</v>
      </c>
    </row>
    <row r="31" spans="2:26" ht="18" customHeight="1">
      <c r="B31" s="18">
        <v>46186</v>
      </c>
      <c r="C31" s="19" t="s">
        <v>13</v>
      </c>
      <c r="D31" s="26">
        <v>7</v>
      </c>
      <c r="E31" s="26">
        <v>0</v>
      </c>
      <c r="F31" s="26">
        <v>0.25</v>
      </c>
      <c r="G31" s="19">
        <v>60</v>
      </c>
      <c r="H31" s="19">
        <v>0</v>
      </c>
      <c r="I31" s="19">
        <v>15</v>
      </c>
      <c r="J31" s="41">
        <f t="shared" si="0"/>
        <v>0.9642857142857143</v>
      </c>
      <c r="K31" s="41">
        <f t="shared" si="1"/>
        <v>0.59259259259259256</v>
      </c>
      <c r="L31" s="41">
        <v>1</v>
      </c>
      <c r="M31" s="41">
        <f t="shared" si="2"/>
        <v>0.5714285714285714</v>
      </c>
      <c r="N31" s="42">
        <f t="shared" si="3"/>
        <v>6.75</v>
      </c>
      <c r="O31" s="37"/>
      <c r="P31" s="45"/>
      <c r="Z31" s="86">
        <v>46191</v>
      </c>
    </row>
    <row r="32" spans="2:26" ht="18" customHeight="1">
      <c r="B32" s="18">
        <v>46188</v>
      </c>
      <c r="C32" s="19" t="s">
        <v>13</v>
      </c>
      <c r="D32" s="26">
        <v>7</v>
      </c>
      <c r="E32" s="26">
        <v>0</v>
      </c>
      <c r="F32" s="26">
        <v>0.6</v>
      </c>
      <c r="G32" s="19">
        <v>50</v>
      </c>
      <c r="H32" s="19">
        <v>0</v>
      </c>
      <c r="I32" s="19">
        <v>15</v>
      </c>
      <c r="J32" s="41">
        <f t="shared" si="0"/>
        <v>0.91428571428571437</v>
      </c>
      <c r="K32" s="41">
        <f t="shared" si="1"/>
        <v>0.52083333333333337</v>
      </c>
      <c r="L32" s="41">
        <v>1</v>
      </c>
      <c r="M32" s="41">
        <f t="shared" si="2"/>
        <v>0.47619047619047628</v>
      </c>
      <c r="N32" s="42">
        <f t="shared" si="3"/>
        <v>6.4</v>
      </c>
      <c r="O32" s="37"/>
      <c r="P32" s="45"/>
      <c r="Z32" s="86">
        <v>46192</v>
      </c>
    </row>
    <row r="33" spans="2:26" s="34" customFormat="1" ht="18" customHeight="1">
      <c r="B33" s="39">
        <v>46188</v>
      </c>
      <c r="C33" s="26" t="s">
        <v>2</v>
      </c>
      <c r="D33" s="26">
        <v>8.9</v>
      </c>
      <c r="E33" s="26">
        <v>0</v>
      </c>
      <c r="F33" s="26">
        <v>3</v>
      </c>
      <c r="G33" s="19">
        <v>30</v>
      </c>
      <c r="H33" s="19">
        <v>0.5</v>
      </c>
      <c r="I33" s="26">
        <v>10</v>
      </c>
      <c r="J33" s="41">
        <f t="shared" si="0"/>
        <v>0.66292134831460681</v>
      </c>
      <c r="K33" s="41">
        <f t="shared" si="1"/>
        <v>0.50847457627118642</v>
      </c>
      <c r="L33" s="41">
        <f>IF(G33&gt;0, (G33-H33)/G33, "")</f>
        <v>0.98333333333333328</v>
      </c>
      <c r="M33" s="41">
        <f t="shared" si="2"/>
        <v>0.33146067415730335</v>
      </c>
      <c r="N33" s="42">
        <f t="shared" si="3"/>
        <v>5.9</v>
      </c>
      <c r="O33" s="37"/>
      <c r="P33" s="45"/>
      <c r="Q33" s="43"/>
      <c r="Z33" s="86">
        <v>46193</v>
      </c>
    </row>
    <row r="34" spans="2:26" ht="18" customHeight="1">
      <c r="B34" s="18">
        <v>46189</v>
      </c>
      <c r="C34" s="19" t="s">
        <v>2</v>
      </c>
      <c r="D34" s="26">
        <v>5</v>
      </c>
      <c r="E34" s="26">
        <v>0</v>
      </c>
      <c r="F34" s="26">
        <v>0.5</v>
      </c>
      <c r="G34" s="19">
        <v>30</v>
      </c>
      <c r="H34" s="19">
        <v>0.5</v>
      </c>
      <c r="I34" s="19">
        <v>10</v>
      </c>
      <c r="J34" s="41">
        <f t="shared" si="0"/>
        <v>0.9</v>
      </c>
      <c r="K34" s="41">
        <f t="shared" si="1"/>
        <v>0.66666666666666663</v>
      </c>
      <c r="L34" s="41">
        <f>IF(G34&gt;0, (G34-H34)/G34, "")</f>
        <v>0.98333333333333328</v>
      </c>
      <c r="M34" s="41">
        <f t="shared" si="2"/>
        <v>0.59</v>
      </c>
      <c r="N34" s="42">
        <f t="shared" si="3"/>
        <v>4.5</v>
      </c>
      <c r="O34" s="37"/>
      <c r="P34" s="45"/>
      <c r="Z34" s="86">
        <v>46195</v>
      </c>
    </row>
    <row r="35" spans="2:26" ht="18" customHeight="1">
      <c r="B35" s="22">
        <v>46189</v>
      </c>
      <c r="C35" s="23" t="s">
        <v>14</v>
      </c>
      <c r="D35" s="26">
        <v>10</v>
      </c>
      <c r="E35" s="26">
        <v>0</v>
      </c>
      <c r="F35" s="26">
        <v>0.8</v>
      </c>
      <c r="G35" s="19">
        <v>90</v>
      </c>
      <c r="H35" s="19">
        <v>2</v>
      </c>
      <c r="I35" s="23">
        <v>15</v>
      </c>
      <c r="J35" s="24">
        <f t="shared" si="0"/>
        <v>0.91999999999999993</v>
      </c>
      <c r="K35" s="24">
        <f t="shared" si="1"/>
        <v>0.65217391304347827</v>
      </c>
      <c r="L35" s="24">
        <f>IF(G35&gt;0, (G35-H35)/G35, "")</f>
        <v>0.97777777777777775</v>
      </c>
      <c r="M35" s="24">
        <f t="shared" si="2"/>
        <v>0.58666666666666667</v>
      </c>
      <c r="N35" s="25">
        <f t="shared" si="3"/>
        <v>9.1999999999999993</v>
      </c>
      <c r="O35" s="37"/>
      <c r="P35" s="45"/>
      <c r="Z35" s="86">
        <v>46196</v>
      </c>
    </row>
    <row r="36" spans="2:26" ht="18" customHeight="1">
      <c r="B36" s="18">
        <v>46190</v>
      </c>
      <c r="C36" s="19" t="s">
        <v>13</v>
      </c>
      <c r="D36" s="23">
        <v>16</v>
      </c>
      <c r="E36" s="26">
        <v>0</v>
      </c>
      <c r="F36" s="26">
        <v>2.2999999999999998</v>
      </c>
      <c r="G36" s="19">
        <v>135</v>
      </c>
      <c r="H36" s="19">
        <v>0</v>
      </c>
      <c r="I36" s="19">
        <v>15</v>
      </c>
      <c r="J36" s="24">
        <f t="shared" si="0"/>
        <v>0.85624999999999996</v>
      </c>
      <c r="K36" s="24">
        <f t="shared" si="1"/>
        <v>0.65693430656934304</v>
      </c>
      <c r="L36" s="24">
        <v>1</v>
      </c>
      <c r="M36" s="24">
        <f t="shared" si="2"/>
        <v>0.5625</v>
      </c>
      <c r="N36" s="25">
        <f t="shared" si="3"/>
        <v>13.7</v>
      </c>
      <c r="O36" s="37"/>
      <c r="P36" s="45"/>
      <c r="Z36" s="86">
        <v>46197</v>
      </c>
    </row>
    <row r="37" spans="2:26" ht="18" customHeight="1">
      <c r="B37" s="39">
        <v>46191</v>
      </c>
      <c r="C37" s="26" t="s">
        <v>12</v>
      </c>
      <c r="D37" s="26">
        <v>15</v>
      </c>
      <c r="E37" s="26">
        <v>0</v>
      </c>
      <c r="F37" s="26">
        <v>1.3</v>
      </c>
      <c r="G37" s="19">
        <v>140</v>
      </c>
      <c r="H37" s="19">
        <v>0</v>
      </c>
      <c r="I37" s="26">
        <v>15</v>
      </c>
      <c r="J37" s="41">
        <f t="shared" si="0"/>
        <v>0.91333333333333333</v>
      </c>
      <c r="K37" s="41">
        <f t="shared" si="1"/>
        <v>0.68126520681265201</v>
      </c>
      <c r="L37" s="41">
        <f>IF(G37&gt;0, (G37-H37)/G37, "")</f>
        <v>1</v>
      </c>
      <c r="M37" s="41">
        <f t="shared" si="2"/>
        <v>0.62222222222222212</v>
      </c>
      <c r="N37" s="42">
        <f t="shared" si="3"/>
        <v>13.7</v>
      </c>
      <c r="O37" s="37"/>
      <c r="P37" s="45"/>
      <c r="Z37" s="86">
        <v>46198</v>
      </c>
    </row>
    <row r="38" spans="2:26" ht="18" customHeight="1">
      <c r="B38" s="18">
        <v>46192</v>
      </c>
      <c r="C38" s="19" t="s">
        <v>2</v>
      </c>
      <c r="D38" s="26">
        <v>13.5</v>
      </c>
      <c r="E38" s="26">
        <v>0</v>
      </c>
      <c r="F38" s="26">
        <v>0.3</v>
      </c>
      <c r="G38" s="19">
        <v>80</v>
      </c>
      <c r="H38" s="19">
        <v>0.5</v>
      </c>
      <c r="I38" s="19">
        <v>10</v>
      </c>
      <c r="J38" s="41">
        <f t="shared" si="0"/>
        <v>0.97777777777777775</v>
      </c>
      <c r="K38" s="41">
        <f t="shared" si="1"/>
        <v>0.60606060606060608</v>
      </c>
      <c r="L38" s="41">
        <f>IF(G38&gt;0, (G38-H38)/G38, "")</f>
        <v>0.99375000000000002</v>
      </c>
      <c r="M38" s="41">
        <f t="shared" si="2"/>
        <v>0.58888888888888891</v>
      </c>
      <c r="N38" s="42">
        <f t="shared" si="3"/>
        <v>13.2</v>
      </c>
      <c r="O38" s="44"/>
      <c r="P38" s="45"/>
      <c r="Z38" s="86">
        <v>46199</v>
      </c>
    </row>
    <row r="39" spans="2:26" ht="18" customHeight="1">
      <c r="B39" s="22">
        <v>46193</v>
      </c>
      <c r="C39" s="23" t="s">
        <v>14</v>
      </c>
      <c r="D39" s="26">
        <v>7.5</v>
      </c>
      <c r="E39" s="26">
        <v>0</v>
      </c>
      <c r="F39" s="26">
        <v>0.3</v>
      </c>
      <c r="G39" s="19">
        <v>65</v>
      </c>
      <c r="H39" s="19">
        <v>32</v>
      </c>
      <c r="I39" s="23">
        <v>15</v>
      </c>
      <c r="J39" s="41">
        <f t="shared" si="0"/>
        <v>0.96000000000000008</v>
      </c>
      <c r="K39" s="24">
        <f t="shared" si="1"/>
        <v>0.60185185185185186</v>
      </c>
      <c r="L39" s="24">
        <v>0.5</v>
      </c>
      <c r="M39" s="24">
        <f t="shared" si="2"/>
        <v>0.28888888888888892</v>
      </c>
      <c r="N39" s="25">
        <f t="shared" si="3"/>
        <v>7.2</v>
      </c>
      <c r="O39" s="44"/>
      <c r="P39" s="45"/>
      <c r="Z39" s="86">
        <v>46200</v>
      </c>
    </row>
    <row r="40" spans="2:26" ht="18" customHeight="1">
      <c r="B40" s="18">
        <v>46195</v>
      </c>
      <c r="C40" s="19" t="s">
        <v>13</v>
      </c>
      <c r="D40" s="26">
        <v>16</v>
      </c>
      <c r="E40" s="26">
        <v>0</v>
      </c>
      <c r="F40" s="26">
        <v>2.2000000000000002</v>
      </c>
      <c r="G40" s="19">
        <v>120</v>
      </c>
      <c r="H40" s="19">
        <v>0</v>
      </c>
      <c r="I40" s="19">
        <v>15</v>
      </c>
      <c r="J40" s="41">
        <f t="shared" si="0"/>
        <v>0.86250000000000004</v>
      </c>
      <c r="K40" s="24">
        <f t="shared" si="1"/>
        <v>0.57971014492753625</v>
      </c>
      <c r="L40" s="24">
        <f t="shared" ref="L40:L49" si="5">IF(G40&gt;0, (G40-H40)/G40, "")</f>
        <v>1</v>
      </c>
      <c r="M40" s="24">
        <f t="shared" si="2"/>
        <v>0.5</v>
      </c>
      <c r="N40" s="25">
        <f t="shared" si="3"/>
        <v>13.8</v>
      </c>
      <c r="O40" s="37"/>
      <c r="P40" s="45"/>
      <c r="Z40" s="86">
        <v>46202</v>
      </c>
    </row>
    <row r="41" spans="2:26" ht="18" customHeight="1">
      <c r="B41" s="22">
        <v>46196</v>
      </c>
      <c r="C41" s="23" t="s">
        <v>2</v>
      </c>
      <c r="D41" s="26">
        <v>15</v>
      </c>
      <c r="E41" s="26">
        <v>0</v>
      </c>
      <c r="F41" s="26">
        <v>0.3</v>
      </c>
      <c r="G41" s="19">
        <v>100</v>
      </c>
      <c r="H41" s="19">
        <v>0.5</v>
      </c>
      <c r="I41" s="23">
        <v>10</v>
      </c>
      <c r="J41" s="24">
        <f t="shared" si="0"/>
        <v>0.98</v>
      </c>
      <c r="K41" s="24">
        <f t="shared" si="1"/>
        <v>0.68027210884353739</v>
      </c>
      <c r="L41" s="24">
        <f t="shared" si="5"/>
        <v>0.995</v>
      </c>
      <c r="M41" s="24">
        <f t="shared" si="2"/>
        <v>0.66333333333333333</v>
      </c>
      <c r="N41" s="25">
        <f t="shared" si="3"/>
        <v>14.7</v>
      </c>
      <c r="O41" s="37"/>
      <c r="P41" s="45"/>
      <c r="Z41" s="86">
        <v>46203</v>
      </c>
    </row>
    <row r="42" spans="2:26" ht="18" customHeight="1">
      <c r="B42" s="18">
        <v>46197</v>
      </c>
      <c r="C42" s="19" t="s">
        <v>14</v>
      </c>
      <c r="D42" s="26">
        <v>4.9000000000000004</v>
      </c>
      <c r="E42" s="26">
        <v>0</v>
      </c>
      <c r="F42" s="26">
        <v>0.3</v>
      </c>
      <c r="G42" s="19">
        <v>40</v>
      </c>
      <c r="H42" s="19">
        <v>2</v>
      </c>
      <c r="I42" s="19">
        <v>15</v>
      </c>
      <c r="J42" s="24">
        <f t="shared" si="0"/>
        <v>0.93877551020408168</v>
      </c>
      <c r="K42" s="24">
        <f t="shared" si="1"/>
        <v>0.57971014492753614</v>
      </c>
      <c r="L42" s="24">
        <f t="shared" si="5"/>
        <v>0.95</v>
      </c>
      <c r="M42" s="24">
        <f t="shared" si="2"/>
        <v>0.51700680272108834</v>
      </c>
      <c r="N42" s="25">
        <f t="shared" si="3"/>
        <v>4.6000000000000005</v>
      </c>
      <c r="O42" s="37"/>
      <c r="P42" s="45"/>
    </row>
    <row r="43" spans="2:26" ht="18" customHeight="1">
      <c r="B43" s="18">
        <v>46197</v>
      </c>
      <c r="C43" s="23" t="s">
        <v>12</v>
      </c>
      <c r="D43" s="26">
        <v>9.5</v>
      </c>
      <c r="E43" s="26">
        <v>1</v>
      </c>
      <c r="F43" s="26">
        <v>0.8</v>
      </c>
      <c r="G43" s="19">
        <v>80</v>
      </c>
      <c r="H43" s="19">
        <v>0</v>
      </c>
      <c r="I43" s="23">
        <v>15</v>
      </c>
      <c r="J43" s="24">
        <f t="shared" si="0"/>
        <v>0.91578947368421049</v>
      </c>
      <c r="K43" s="24">
        <f t="shared" si="1"/>
        <v>0.69264069264069261</v>
      </c>
      <c r="L43" s="24">
        <f t="shared" si="5"/>
        <v>1</v>
      </c>
      <c r="M43" s="24">
        <f t="shared" si="2"/>
        <v>0.63431305536568694</v>
      </c>
      <c r="N43" s="25">
        <f t="shared" si="3"/>
        <v>7.7</v>
      </c>
      <c r="O43" s="37"/>
      <c r="P43" s="45"/>
    </row>
    <row r="44" spans="2:26" ht="15" customHeight="1">
      <c r="B44" s="18">
        <v>46198</v>
      </c>
      <c r="C44" s="23" t="s">
        <v>12</v>
      </c>
      <c r="D44" s="26">
        <v>14</v>
      </c>
      <c r="E44" s="26">
        <v>0</v>
      </c>
      <c r="F44" s="26">
        <v>0.5</v>
      </c>
      <c r="G44" s="19">
        <v>140</v>
      </c>
      <c r="H44" s="23">
        <v>0</v>
      </c>
      <c r="I44" s="23">
        <v>15</v>
      </c>
      <c r="J44" s="24">
        <f t="shared" si="0"/>
        <v>0.9642857142857143</v>
      </c>
      <c r="K44" s="24">
        <f t="shared" si="1"/>
        <v>0.69135802469135799</v>
      </c>
      <c r="L44" s="24">
        <f t="shared" si="5"/>
        <v>1</v>
      </c>
      <c r="M44" s="24">
        <f t="shared" si="2"/>
        <v>0.66666666666666663</v>
      </c>
      <c r="N44" s="25">
        <f t="shared" si="3"/>
        <v>13.5</v>
      </c>
      <c r="P44" s="45"/>
    </row>
    <row r="45" spans="2:26" ht="15" customHeight="1">
      <c r="B45" s="18">
        <v>46199</v>
      </c>
      <c r="C45" s="23" t="s">
        <v>13</v>
      </c>
      <c r="D45" s="26">
        <v>13.8</v>
      </c>
      <c r="E45" s="26">
        <v>0</v>
      </c>
      <c r="F45" s="26">
        <v>0.6</v>
      </c>
      <c r="G45" s="19">
        <v>135</v>
      </c>
      <c r="H45" s="23">
        <v>0</v>
      </c>
      <c r="I45" s="23">
        <v>15</v>
      </c>
      <c r="J45" s="24">
        <f t="shared" si="0"/>
        <v>0.95652173913043481</v>
      </c>
      <c r="K45" s="24">
        <f t="shared" si="1"/>
        <v>0.68181818181818177</v>
      </c>
      <c r="L45" s="24">
        <f t="shared" si="5"/>
        <v>1</v>
      </c>
      <c r="M45" s="24">
        <f t="shared" si="2"/>
        <v>0.65217391304347827</v>
      </c>
      <c r="N45" s="25">
        <f t="shared" si="3"/>
        <v>13.200000000000001</v>
      </c>
      <c r="P45" s="45"/>
    </row>
    <row r="46" spans="2:26" ht="15" customHeight="1">
      <c r="B46" s="18">
        <v>46200</v>
      </c>
      <c r="C46" s="23" t="s">
        <v>2</v>
      </c>
      <c r="D46" s="26">
        <v>8</v>
      </c>
      <c r="E46" s="26">
        <v>0</v>
      </c>
      <c r="F46" s="26">
        <v>1.5</v>
      </c>
      <c r="G46" s="19">
        <v>40</v>
      </c>
      <c r="H46" s="23">
        <v>4</v>
      </c>
      <c r="I46" s="23">
        <v>10</v>
      </c>
      <c r="J46" s="24">
        <f t="shared" si="0"/>
        <v>0.8125</v>
      </c>
      <c r="K46" s="24">
        <f t="shared" si="1"/>
        <v>0.61538461538461542</v>
      </c>
      <c r="L46" s="24">
        <f t="shared" si="5"/>
        <v>0.9</v>
      </c>
      <c r="M46" s="24">
        <f t="shared" si="2"/>
        <v>0.45</v>
      </c>
      <c r="N46" s="25">
        <f t="shared" si="3"/>
        <v>6.5</v>
      </c>
      <c r="P46" s="45"/>
    </row>
    <row r="47" spans="2:26" ht="15" customHeight="1">
      <c r="B47" s="18">
        <v>46202</v>
      </c>
      <c r="C47" s="23" t="s">
        <v>2</v>
      </c>
      <c r="D47" s="26">
        <v>12</v>
      </c>
      <c r="E47" s="26">
        <v>0</v>
      </c>
      <c r="F47" s="26">
        <v>2.5</v>
      </c>
      <c r="G47" s="19">
        <v>60</v>
      </c>
      <c r="H47" s="23">
        <v>0</v>
      </c>
      <c r="I47" s="23">
        <v>10</v>
      </c>
      <c r="J47" s="24">
        <f t="shared" si="0"/>
        <v>0.79166666666666663</v>
      </c>
      <c r="K47" s="24">
        <f t="shared" si="1"/>
        <v>0.63157894736842102</v>
      </c>
      <c r="L47" s="24">
        <f t="shared" si="5"/>
        <v>1</v>
      </c>
      <c r="M47" s="24">
        <f t="shared" si="2"/>
        <v>0.49999999999999994</v>
      </c>
      <c r="N47" s="25">
        <f t="shared" si="3"/>
        <v>9.5</v>
      </c>
    </row>
    <row r="48" spans="2:26" ht="15" customHeight="1">
      <c r="B48" s="18">
        <v>46202</v>
      </c>
      <c r="C48" s="23" t="s">
        <v>14</v>
      </c>
      <c r="D48" s="26">
        <v>4</v>
      </c>
      <c r="E48" s="26">
        <v>0</v>
      </c>
      <c r="F48" s="26">
        <v>0</v>
      </c>
      <c r="G48" s="19">
        <v>40</v>
      </c>
      <c r="H48" s="23">
        <v>0</v>
      </c>
      <c r="I48" s="23">
        <v>15</v>
      </c>
      <c r="J48" s="24">
        <f t="shared" si="0"/>
        <v>1</v>
      </c>
      <c r="K48" s="24">
        <f t="shared" si="1"/>
        <v>0.66666666666666663</v>
      </c>
      <c r="L48" s="24">
        <f t="shared" si="5"/>
        <v>1</v>
      </c>
      <c r="M48" s="24">
        <f t="shared" si="2"/>
        <v>0.66666666666666663</v>
      </c>
      <c r="N48" s="25">
        <f t="shared" si="3"/>
        <v>4</v>
      </c>
    </row>
    <row r="49" spans="2:14" ht="15" customHeight="1">
      <c r="B49" s="18">
        <v>46203</v>
      </c>
      <c r="C49" s="23" t="s">
        <v>13</v>
      </c>
      <c r="D49" s="26">
        <v>12</v>
      </c>
      <c r="E49" s="26">
        <v>0</v>
      </c>
      <c r="F49" s="26">
        <v>0</v>
      </c>
      <c r="G49" s="19">
        <v>135</v>
      </c>
      <c r="H49" s="23">
        <v>0</v>
      </c>
      <c r="I49" s="23">
        <v>15</v>
      </c>
      <c r="J49" s="24">
        <f t="shared" si="0"/>
        <v>1</v>
      </c>
      <c r="K49" s="24">
        <f t="shared" si="1"/>
        <v>0.75</v>
      </c>
      <c r="L49" s="24">
        <f t="shared" si="5"/>
        <v>1</v>
      </c>
      <c r="M49" s="24">
        <f t="shared" si="2"/>
        <v>0.75</v>
      </c>
      <c r="N49" s="25">
        <f t="shared" si="3"/>
        <v>12</v>
      </c>
    </row>
  </sheetData>
  <mergeCells count="5">
    <mergeCell ref="P11:U12"/>
    <mergeCell ref="B13:N13"/>
    <mergeCell ref="B3:N4"/>
    <mergeCell ref="P3:U4"/>
    <mergeCell ref="Q13:R14"/>
  </mergeCells>
  <dataValidations count="2">
    <dataValidation type="list" showDropDown="1" sqref="P14" xr:uid="{00000000-0002-0000-0200-000000000000}">
      <formula1>$Z$15:$Z$41</formula1>
    </dataValidation>
    <dataValidation type="list" allowBlank="1" errorTitle="Date invalide" error="Veuillez sélectionner une date valide dans la liste." promptTitle="Choix de la date" prompt="Sélectionnez une date" sqref="P14" xr:uid="{00000000-0002-0000-0200-000001000000}">
      <formula1>$B$15:$B$49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euil4"/>
  <dimension ref="B2:Z65"/>
  <sheetViews>
    <sheetView showGridLines="0" zoomScaleNormal="100" workbookViewId="0">
      <selection activeCell="P14" sqref="P14"/>
    </sheetView>
  </sheetViews>
  <sheetFormatPr baseColWidth="10" defaultColWidth="9.140625" defaultRowHeight="15"/>
  <cols>
    <col min="2" max="2" width="12" style="2" customWidth="1"/>
    <col min="3" max="3" width="20" customWidth="1"/>
    <col min="4" max="4" width="19.42578125" customWidth="1"/>
    <col min="5" max="6" width="15" customWidth="1"/>
    <col min="7" max="7" width="17.28515625" customWidth="1"/>
    <col min="8" max="9" width="12" customWidth="1"/>
    <col min="10" max="10" width="10" customWidth="1"/>
    <col min="11" max="11" width="19.42578125" customWidth="1"/>
    <col min="12" max="12" width="15.85546875" customWidth="1"/>
    <col min="13" max="13" width="13.5703125" customWidth="1"/>
    <col min="14" max="14" width="16.7109375" customWidth="1"/>
    <col min="15" max="15" width="1.42578125" style="34" customWidth="1"/>
    <col min="16" max="16" width="14.7109375" customWidth="1"/>
    <col min="17" max="17" width="9.140625" style="33" customWidth="1"/>
    <col min="19" max="19" width="7.5703125" customWidth="1"/>
    <col min="20" max="20" width="1.42578125" customWidth="1"/>
    <col min="21" max="21" width="2.140625" customWidth="1"/>
    <col min="22" max="22" width="8.28515625" customWidth="1"/>
    <col min="23" max="23" width="14.28515625" customWidth="1"/>
  </cols>
  <sheetData>
    <row r="2" spans="2:26" ht="15.75" customHeight="1"/>
    <row r="3" spans="2:26" ht="15" customHeight="1">
      <c r="B3" s="105" t="s">
        <v>33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7"/>
      <c r="P3" s="100" t="s">
        <v>1</v>
      </c>
      <c r="Q3" s="104"/>
      <c r="R3" s="99"/>
      <c r="S3" s="99"/>
      <c r="T3" s="99"/>
      <c r="U3" s="99"/>
    </row>
    <row r="4" spans="2:26" ht="15" customHeight="1">
      <c r="B4" s="108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10"/>
      <c r="P4" s="99"/>
      <c r="Q4" s="104"/>
      <c r="R4" s="99"/>
      <c r="S4" s="99"/>
      <c r="T4" s="99"/>
      <c r="U4" s="99"/>
    </row>
    <row r="6" spans="2:26" ht="45" customHeight="1">
      <c r="C6" s="3">
        <v>2500</v>
      </c>
      <c r="D6" s="4">
        <f>IF(C6&gt;0, SUM(G15:G61)/C6, 0)</f>
        <v>0.98</v>
      </c>
      <c r="F6" s="5">
        <f>IFERROR(AVERAGE(J15:J44), 0)</f>
        <v>0.86575808123620845</v>
      </c>
      <c r="G6" s="5">
        <f>IFERROR(AVERAGE(K15:K44), 0)</f>
        <v>0.53088322438081736</v>
      </c>
      <c r="H6" s="5">
        <f>IFERROR(AVERAGE(L15:L44), 0)</f>
        <v>1</v>
      </c>
      <c r="I6" s="6">
        <f>IFERROR(AVERAGE(M15:M61), 0)</f>
        <v>0.45748586723288082</v>
      </c>
      <c r="K6" s="7">
        <f>SUM(G15:G61)</f>
        <v>2450</v>
      </c>
      <c r="L6" s="8">
        <f>SUM(H15:H61)</f>
        <v>0</v>
      </c>
      <c r="M6" s="114">
        <f>SUM(N15:N61)</f>
        <v>322.7</v>
      </c>
      <c r="N6" s="99"/>
      <c r="Q6" s="9" t="s">
        <v>2</v>
      </c>
      <c r="R6" s="10">
        <f>SUMIF(C15:C91,Q6,G15:G131)</f>
        <v>515</v>
      </c>
      <c r="S6" s="11">
        <f>R6/SUM(R6:R10)</f>
        <v>0.21020408163265306</v>
      </c>
    </row>
    <row r="7" spans="2:26" ht="15" customHeight="1">
      <c r="C7" s="12" t="s">
        <v>3</v>
      </c>
      <c r="D7" s="12" t="s">
        <v>4</v>
      </c>
      <c r="F7" s="12" t="s">
        <v>5</v>
      </c>
      <c r="G7" s="12" t="s">
        <v>6</v>
      </c>
      <c r="H7" s="12" t="s">
        <v>7</v>
      </c>
      <c r="I7" s="12" t="s">
        <v>8</v>
      </c>
      <c r="K7" s="12" t="s">
        <v>9</v>
      </c>
      <c r="L7" s="12" t="s">
        <v>10</v>
      </c>
      <c r="M7" s="113" t="s">
        <v>34</v>
      </c>
      <c r="N7" s="99"/>
      <c r="Q7" s="13" t="s">
        <v>12</v>
      </c>
      <c r="R7" s="10">
        <f>SUMIF(C15:C92,Q7,G15:G132)</f>
        <v>705</v>
      </c>
      <c r="S7" s="11">
        <f>R7/SUM(R6:R10)</f>
        <v>0.28775510204081634</v>
      </c>
    </row>
    <row r="8" spans="2:26" ht="15" customHeight="1">
      <c r="Q8" s="13" t="s">
        <v>13</v>
      </c>
      <c r="R8" s="10">
        <f>SUMIF(C15:C93,Q8,G15:G133)</f>
        <v>650</v>
      </c>
      <c r="S8" s="11">
        <f>R8/SUM(R6:R11)</f>
        <v>0.26530612244897961</v>
      </c>
    </row>
    <row r="9" spans="2:26" ht="15" customHeight="1">
      <c r="Q9" s="13" t="s">
        <v>14</v>
      </c>
      <c r="R9" s="10">
        <f>SUMIF(C15:C94,Q9,G15:G134)</f>
        <v>310</v>
      </c>
      <c r="S9" s="11">
        <f>R9/SUM(R6:R12)</f>
        <v>0.12653061224489795</v>
      </c>
    </row>
    <row r="10" spans="2:26" ht="15" customHeight="1">
      <c r="Q10" s="46" t="s">
        <v>30</v>
      </c>
      <c r="R10" s="10">
        <f>SUMIF(C16:C95,Q10,G16:G135)</f>
        <v>270</v>
      </c>
      <c r="S10" s="11">
        <f>R10/SUM(R6:R12)</f>
        <v>0.11020408163265306</v>
      </c>
    </row>
    <row r="11" spans="2:26" ht="15" customHeight="1">
      <c r="P11" s="103"/>
      <c r="Q11" s="104"/>
      <c r="R11" s="99"/>
      <c r="S11" s="99"/>
      <c r="T11" s="99"/>
      <c r="U11" s="99"/>
    </row>
    <row r="12" spans="2:26" ht="15" customHeight="1">
      <c r="P12" s="99"/>
      <c r="Q12" s="104"/>
      <c r="R12" s="99"/>
      <c r="S12" s="99"/>
      <c r="T12" s="99"/>
      <c r="U12" s="99"/>
      <c r="V12" s="35">
        <v>3</v>
      </c>
    </row>
    <row r="13" spans="2:26" ht="24.75" customHeight="1">
      <c r="B13" s="112" t="s">
        <v>16</v>
      </c>
      <c r="C13" s="99"/>
      <c r="D13" s="99"/>
      <c r="E13" s="99"/>
      <c r="F13" s="99"/>
      <c r="G13" s="99"/>
      <c r="H13" s="99"/>
      <c r="I13" s="99"/>
      <c r="J13" s="99"/>
      <c r="K13" s="99"/>
      <c r="L13" s="99"/>
      <c r="M13" s="99"/>
      <c r="N13" s="99"/>
      <c r="P13" t="s">
        <v>15</v>
      </c>
      <c r="Q13" s="111"/>
      <c r="R13" s="99"/>
    </row>
    <row r="14" spans="2:26" ht="39" customHeight="1">
      <c r="B14" s="16" t="s">
        <v>17</v>
      </c>
      <c r="C14" s="17" t="s">
        <v>18</v>
      </c>
      <c r="D14" s="47" t="s">
        <v>35</v>
      </c>
      <c r="E14" s="17" t="s">
        <v>20</v>
      </c>
      <c r="F14" s="17" t="s">
        <v>21</v>
      </c>
      <c r="G14" s="17" t="s">
        <v>22</v>
      </c>
      <c r="H14" s="17" t="s">
        <v>23</v>
      </c>
      <c r="I14" s="47" t="s">
        <v>36</v>
      </c>
      <c r="J14" s="17" t="s">
        <v>25</v>
      </c>
      <c r="K14" s="17" t="s">
        <v>37</v>
      </c>
      <c r="L14" s="17" t="s">
        <v>27</v>
      </c>
      <c r="M14" s="17" t="s">
        <v>38</v>
      </c>
      <c r="N14" s="17" t="s">
        <v>29</v>
      </c>
      <c r="O14" s="36"/>
      <c r="P14" s="86">
        <v>46234</v>
      </c>
      <c r="Q14" s="104"/>
      <c r="R14" s="99"/>
    </row>
    <row r="15" spans="2:26" ht="18" customHeight="1">
      <c r="B15" s="18">
        <v>46204</v>
      </c>
      <c r="C15" s="19" t="s">
        <v>2</v>
      </c>
      <c r="D15" s="19">
        <v>12</v>
      </c>
      <c r="E15" s="19">
        <v>0</v>
      </c>
      <c r="F15" s="19">
        <v>0.5</v>
      </c>
      <c r="G15" s="19">
        <v>70</v>
      </c>
      <c r="H15" s="26">
        <v>0</v>
      </c>
      <c r="I15" s="19">
        <v>10</v>
      </c>
      <c r="J15" s="20">
        <f t="shared" ref="J15:J61" si="0">IF(D15&gt;0, (D15-F15)/D15, "")</f>
        <v>0.95833333333333337</v>
      </c>
      <c r="K15" s="20">
        <f t="shared" ref="K15:K61" si="1">IF((D15-E15-F15)*I15&gt;0, G15/((D15-E15-F15)*I15), "")</f>
        <v>0.60869565217391308</v>
      </c>
      <c r="L15" s="20">
        <f t="shared" ref="L15:L61" si="2">IF(G15&gt;0, (G15-H15)/G15, "")</f>
        <v>1</v>
      </c>
      <c r="M15" s="20">
        <f t="shared" ref="M15:M61" si="3">IF(AND(ISNUMBER(J15), ISNUMBER(K15), ISNUMBER(L15)), J15*K15*L15, "")</f>
        <v>0.58333333333333337</v>
      </c>
      <c r="N15" s="21">
        <f t="shared" ref="N15:N61" si="4">IF(D15&gt;0, D15-E15-F15, "")</f>
        <v>11.5</v>
      </c>
      <c r="O15" s="37"/>
      <c r="P15" s="45"/>
      <c r="Z15" s="86">
        <v>46204</v>
      </c>
    </row>
    <row r="16" spans="2:26" ht="18" customHeight="1">
      <c r="B16" s="18">
        <v>46205</v>
      </c>
      <c r="C16" s="19" t="s">
        <v>30</v>
      </c>
      <c r="D16" s="19">
        <v>8.6999999999999993</v>
      </c>
      <c r="E16" s="19">
        <v>0</v>
      </c>
      <c r="F16" s="19">
        <v>1.5</v>
      </c>
      <c r="G16" s="19">
        <v>50</v>
      </c>
      <c r="H16" s="26">
        <v>0</v>
      </c>
      <c r="I16" s="19">
        <v>15</v>
      </c>
      <c r="J16" s="20">
        <f t="shared" si="0"/>
        <v>0.82758620689655171</v>
      </c>
      <c r="K16" s="20">
        <f t="shared" si="1"/>
        <v>0.46296296296296302</v>
      </c>
      <c r="L16" s="20">
        <f t="shared" si="2"/>
        <v>1</v>
      </c>
      <c r="M16" s="20">
        <f t="shared" si="3"/>
        <v>0.38314176245210735</v>
      </c>
      <c r="N16" s="21">
        <f t="shared" si="4"/>
        <v>7.1999999999999993</v>
      </c>
      <c r="O16" s="37"/>
      <c r="P16" s="45"/>
      <c r="Z16" s="86">
        <v>46205</v>
      </c>
    </row>
    <row r="17" spans="2:26" ht="18" customHeight="1">
      <c r="B17" s="18">
        <v>46205</v>
      </c>
      <c r="C17" s="19" t="s">
        <v>14</v>
      </c>
      <c r="D17" s="19">
        <v>2.2999999999999998</v>
      </c>
      <c r="E17" s="19">
        <v>0</v>
      </c>
      <c r="F17" s="19">
        <v>0</v>
      </c>
      <c r="G17" s="19">
        <v>20</v>
      </c>
      <c r="H17" s="26">
        <v>0</v>
      </c>
      <c r="I17" s="19">
        <v>15</v>
      </c>
      <c r="J17" s="20">
        <f t="shared" si="0"/>
        <v>1</v>
      </c>
      <c r="K17" s="20">
        <f t="shared" si="1"/>
        <v>0.57971014492753625</v>
      </c>
      <c r="L17" s="20">
        <f t="shared" si="2"/>
        <v>1</v>
      </c>
      <c r="M17" s="20">
        <f t="shared" si="3"/>
        <v>0.57971014492753625</v>
      </c>
      <c r="N17" s="21">
        <f t="shared" si="4"/>
        <v>2.2999999999999998</v>
      </c>
      <c r="O17" s="37"/>
      <c r="P17" s="45"/>
      <c r="S17" t="s">
        <v>39</v>
      </c>
      <c r="Z17" s="86">
        <v>46206</v>
      </c>
    </row>
    <row r="18" spans="2:26" ht="18" customHeight="1">
      <c r="B18" s="22">
        <v>46206</v>
      </c>
      <c r="C18" s="23" t="s">
        <v>12</v>
      </c>
      <c r="D18" s="23">
        <v>14.9</v>
      </c>
      <c r="E18" s="23">
        <v>0</v>
      </c>
      <c r="F18" s="23">
        <v>0.1</v>
      </c>
      <c r="G18" s="19">
        <v>145</v>
      </c>
      <c r="H18" s="26">
        <v>0</v>
      </c>
      <c r="I18" s="26">
        <v>15</v>
      </c>
      <c r="J18" s="20">
        <f t="shared" si="0"/>
        <v>0.99328859060402686</v>
      </c>
      <c r="K18" s="20">
        <f t="shared" si="1"/>
        <v>0.65315315315315314</v>
      </c>
      <c r="L18" s="20">
        <f t="shared" si="2"/>
        <v>1</v>
      </c>
      <c r="M18" s="20">
        <f t="shared" si="3"/>
        <v>0.64876957494407161</v>
      </c>
      <c r="N18" s="21">
        <f t="shared" si="4"/>
        <v>14.8</v>
      </c>
      <c r="O18" s="37"/>
      <c r="P18" s="45"/>
      <c r="Z18" s="86">
        <v>46207</v>
      </c>
    </row>
    <row r="19" spans="2:26" ht="18" customHeight="1">
      <c r="B19" s="18">
        <v>46207</v>
      </c>
      <c r="C19" s="19" t="s">
        <v>12</v>
      </c>
      <c r="D19" s="19">
        <v>5.7</v>
      </c>
      <c r="E19" s="19">
        <v>0</v>
      </c>
      <c r="F19" s="19">
        <v>0</v>
      </c>
      <c r="G19" s="19">
        <v>55</v>
      </c>
      <c r="H19" s="26">
        <v>0</v>
      </c>
      <c r="I19" s="19">
        <v>15</v>
      </c>
      <c r="J19" s="20">
        <f t="shared" si="0"/>
        <v>1</v>
      </c>
      <c r="K19" s="20">
        <f t="shared" si="1"/>
        <v>0.64327485380116955</v>
      </c>
      <c r="L19" s="20">
        <f t="shared" si="2"/>
        <v>1</v>
      </c>
      <c r="M19" s="20">
        <f t="shared" si="3"/>
        <v>0.64327485380116955</v>
      </c>
      <c r="N19" s="21">
        <f t="shared" si="4"/>
        <v>5.7</v>
      </c>
      <c r="O19" s="37"/>
      <c r="P19" s="45"/>
      <c r="Z19" s="86">
        <v>46209</v>
      </c>
    </row>
    <row r="20" spans="2:26" ht="18" customHeight="1">
      <c r="B20" s="22">
        <v>46209</v>
      </c>
      <c r="C20" s="23" t="s">
        <v>14</v>
      </c>
      <c r="D20" s="23">
        <v>5</v>
      </c>
      <c r="E20" s="23">
        <v>0</v>
      </c>
      <c r="F20" s="23">
        <v>0</v>
      </c>
      <c r="G20" s="19">
        <v>40</v>
      </c>
      <c r="H20" s="26">
        <v>0</v>
      </c>
      <c r="I20" s="26">
        <v>15</v>
      </c>
      <c r="J20" s="24">
        <f t="shared" si="0"/>
        <v>1</v>
      </c>
      <c r="K20" s="24">
        <f t="shared" si="1"/>
        <v>0.53333333333333333</v>
      </c>
      <c r="L20" s="20">
        <f t="shared" si="2"/>
        <v>1</v>
      </c>
      <c r="M20" s="20">
        <f t="shared" si="3"/>
        <v>0.53333333333333333</v>
      </c>
      <c r="N20" s="25">
        <f t="shared" si="4"/>
        <v>5</v>
      </c>
      <c r="O20" s="37"/>
      <c r="P20" s="45"/>
      <c r="Z20" s="86">
        <v>46210</v>
      </c>
    </row>
    <row r="21" spans="2:26" ht="18" customHeight="1">
      <c r="B21" s="18">
        <v>46209</v>
      </c>
      <c r="C21" s="19" t="s">
        <v>13</v>
      </c>
      <c r="D21" s="19">
        <v>10</v>
      </c>
      <c r="E21" s="38">
        <v>0</v>
      </c>
      <c r="F21" s="23">
        <v>0</v>
      </c>
      <c r="G21" s="19">
        <v>80</v>
      </c>
      <c r="H21" s="26">
        <v>0</v>
      </c>
      <c r="I21" s="26">
        <v>15</v>
      </c>
      <c r="J21" s="24">
        <f t="shared" si="0"/>
        <v>1</v>
      </c>
      <c r="K21" s="24">
        <f t="shared" si="1"/>
        <v>0.53333333333333333</v>
      </c>
      <c r="L21" s="20">
        <f t="shared" si="2"/>
        <v>1</v>
      </c>
      <c r="M21" s="20">
        <f t="shared" si="3"/>
        <v>0.53333333333333333</v>
      </c>
      <c r="N21" s="25">
        <f t="shared" si="4"/>
        <v>10</v>
      </c>
      <c r="O21" s="37"/>
      <c r="P21" s="45"/>
      <c r="Z21" s="86">
        <v>46211</v>
      </c>
    </row>
    <row r="22" spans="2:26" ht="18" customHeight="1">
      <c r="B22" s="39">
        <v>46210</v>
      </c>
      <c r="C22" s="40" t="s">
        <v>2</v>
      </c>
      <c r="D22" s="26">
        <v>15</v>
      </c>
      <c r="E22" s="26">
        <v>0</v>
      </c>
      <c r="F22" s="26">
        <v>0.3</v>
      </c>
      <c r="G22" s="19">
        <v>90</v>
      </c>
      <c r="H22" s="26">
        <v>0</v>
      </c>
      <c r="I22" s="26">
        <v>10</v>
      </c>
      <c r="J22" s="24">
        <f t="shared" si="0"/>
        <v>0.98</v>
      </c>
      <c r="K22" s="24">
        <f t="shared" si="1"/>
        <v>0.61224489795918369</v>
      </c>
      <c r="L22" s="41">
        <f t="shared" si="2"/>
        <v>1</v>
      </c>
      <c r="M22" s="41">
        <f t="shared" si="3"/>
        <v>0.6</v>
      </c>
      <c r="N22" s="42">
        <f t="shared" si="4"/>
        <v>14.7</v>
      </c>
      <c r="O22" s="37"/>
      <c r="P22" s="45"/>
      <c r="Z22" s="86">
        <v>46212</v>
      </c>
    </row>
    <row r="23" spans="2:26" ht="18" customHeight="1">
      <c r="B23" s="18">
        <v>46211</v>
      </c>
      <c r="C23" s="19" t="s">
        <v>2</v>
      </c>
      <c r="D23" s="26">
        <v>12.2</v>
      </c>
      <c r="E23" s="26">
        <v>0</v>
      </c>
      <c r="F23" s="26">
        <v>1.2</v>
      </c>
      <c r="G23" s="19">
        <v>70</v>
      </c>
      <c r="H23" s="26">
        <v>0</v>
      </c>
      <c r="I23" s="19">
        <v>10</v>
      </c>
      <c r="J23" s="24">
        <f t="shared" si="0"/>
        <v>0.90163934426229508</v>
      </c>
      <c r="K23" s="24">
        <f t="shared" si="1"/>
        <v>0.63636363636363635</v>
      </c>
      <c r="L23" s="41">
        <f t="shared" si="2"/>
        <v>1</v>
      </c>
      <c r="M23" s="41">
        <f t="shared" si="3"/>
        <v>0.57377049180327866</v>
      </c>
      <c r="N23" s="42">
        <f t="shared" si="4"/>
        <v>11</v>
      </c>
      <c r="O23" s="37"/>
      <c r="P23" s="45"/>
      <c r="Z23" s="86">
        <v>46213</v>
      </c>
    </row>
    <row r="24" spans="2:26" ht="18" customHeight="1">
      <c r="B24" s="22">
        <v>46211</v>
      </c>
      <c r="C24" s="23" t="s">
        <v>14</v>
      </c>
      <c r="D24" s="26">
        <v>2.5</v>
      </c>
      <c r="E24" s="26">
        <v>0</v>
      </c>
      <c r="F24" s="26">
        <v>0</v>
      </c>
      <c r="G24" s="19">
        <v>20</v>
      </c>
      <c r="H24" s="26">
        <v>0</v>
      </c>
      <c r="I24" s="26">
        <v>15</v>
      </c>
      <c r="J24" s="24">
        <f t="shared" si="0"/>
        <v>1</v>
      </c>
      <c r="K24" s="24">
        <f t="shared" si="1"/>
        <v>0.53333333333333333</v>
      </c>
      <c r="L24" s="24">
        <f t="shared" si="2"/>
        <v>1</v>
      </c>
      <c r="M24" s="41">
        <f t="shared" si="3"/>
        <v>0.53333333333333333</v>
      </c>
      <c r="N24" s="42">
        <f t="shared" si="4"/>
        <v>2.5</v>
      </c>
      <c r="O24" s="37"/>
      <c r="P24" s="45"/>
      <c r="Z24" s="86">
        <v>46214</v>
      </c>
    </row>
    <row r="25" spans="2:26" ht="18" customHeight="1">
      <c r="B25" s="18">
        <v>46212</v>
      </c>
      <c r="C25" s="19" t="s">
        <v>14</v>
      </c>
      <c r="D25" s="26">
        <v>3.8</v>
      </c>
      <c r="E25" s="26">
        <v>0</v>
      </c>
      <c r="F25" s="26">
        <v>0</v>
      </c>
      <c r="G25" s="19">
        <v>30</v>
      </c>
      <c r="H25" s="26">
        <v>0</v>
      </c>
      <c r="I25" s="19">
        <v>15</v>
      </c>
      <c r="J25" s="20">
        <f t="shared" si="0"/>
        <v>1</v>
      </c>
      <c r="K25" s="20">
        <f t="shared" si="1"/>
        <v>0.52631578947368418</v>
      </c>
      <c r="L25" s="24">
        <f t="shared" si="2"/>
        <v>1</v>
      </c>
      <c r="M25" s="41">
        <f t="shared" si="3"/>
        <v>0.52631578947368418</v>
      </c>
      <c r="N25" s="21">
        <f t="shared" si="4"/>
        <v>3.8</v>
      </c>
      <c r="O25" s="37"/>
      <c r="P25" s="45"/>
      <c r="Z25" s="86">
        <v>46216</v>
      </c>
    </row>
    <row r="26" spans="2:26" s="34" customFormat="1" ht="18" customHeight="1">
      <c r="B26" s="39">
        <v>46212</v>
      </c>
      <c r="C26" s="26" t="s">
        <v>13</v>
      </c>
      <c r="D26" s="26">
        <v>11.4</v>
      </c>
      <c r="E26" s="26">
        <v>0</v>
      </c>
      <c r="F26" s="26">
        <v>0</v>
      </c>
      <c r="G26" s="19">
        <v>90</v>
      </c>
      <c r="H26" s="26">
        <v>0</v>
      </c>
      <c r="I26" s="26">
        <v>15</v>
      </c>
      <c r="J26" s="20">
        <f t="shared" si="0"/>
        <v>1</v>
      </c>
      <c r="K26" s="20">
        <f t="shared" si="1"/>
        <v>0.52631578947368418</v>
      </c>
      <c r="L26" s="24">
        <f t="shared" si="2"/>
        <v>1</v>
      </c>
      <c r="M26" s="41">
        <f t="shared" si="3"/>
        <v>0.52631578947368418</v>
      </c>
      <c r="N26" s="21">
        <f t="shared" si="4"/>
        <v>11.4</v>
      </c>
      <c r="O26" s="37"/>
      <c r="P26" s="45"/>
      <c r="Q26" s="43"/>
      <c r="Z26" s="86">
        <v>46217</v>
      </c>
    </row>
    <row r="27" spans="2:26" ht="18" customHeight="1">
      <c r="B27" s="18">
        <v>46213</v>
      </c>
      <c r="C27" s="19" t="s">
        <v>12</v>
      </c>
      <c r="D27" s="26">
        <v>15.1</v>
      </c>
      <c r="E27" s="26">
        <v>0</v>
      </c>
      <c r="F27" s="26">
        <v>1.2</v>
      </c>
      <c r="G27" s="19">
        <v>140</v>
      </c>
      <c r="H27" s="26">
        <v>0</v>
      </c>
      <c r="I27" s="19">
        <v>15</v>
      </c>
      <c r="J27" s="20">
        <f t="shared" si="0"/>
        <v>0.92052980132450335</v>
      </c>
      <c r="K27" s="20">
        <f t="shared" si="1"/>
        <v>0.67146282973621108</v>
      </c>
      <c r="L27" s="24">
        <f t="shared" si="2"/>
        <v>1</v>
      </c>
      <c r="M27" s="41">
        <f t="shared" si="3"/>
        <v>0.61810154525386318</v>
      </c>
      <c r="N27" s="21">
        <f t="shared" si="4"/>
        <v>13.9</v>
      </c>
      <c r="O27" s="37"/>
      <c r="P27" s="45"/>
      <c r="Z27" s="86">
        <v>46218</v>
      </c>
    </row>
    <row r="28" spans="2:26" ht="18" customHeight="1">
      <c r="B28" s="22">
        <v>46214</v>
      </c>
      <c r="C28" s="23" t="s">
        <v>12</v>
      </c>
      <c r="D28" s="26">
        <v>10.3</v>
      </c>
      <c r="E28" s="26">
        <v>0</v>
      </c>
      <c r="F28" s="26">
        <v>3.5</v>
      </c>
      <c r="G28" s="19">
        <v>60</v>
      </c>
      <c r="H28" s="26">
        <v>0</v>
      </c>
      <c r="I28" s="23">
        <v>15</v>
      </c>
      <c r="J28" s="24">
        <f t="shared" si="0"/>
        <v>0.66019417475728159</v>
      </c>
      <c r="K28" s="24">
        <f t="shared" si="1"/>
        <v>0.58823529411764697</v>
      </c>
      <c r="L28" s="24">
        <f t="shared" si="2"/>
        <v>1</v>
      </c>
      <c r="M28" s="24">
        <f t="shared" si="3"/>
        <v>0.38834951456310673</v>
      </c>
      <c r="N28" s="25">
        <f t="shared" si="4"/>
        <v>6.8000000000000007</v>
      </c>
      <c r="O28" s="37"/>
      <c r="P28" s="45"/>
      <c r="Z28" s="86">
        <v>46219</v>
      </c>
    </row>
    <row r="29" spans="2:26" ht="18" customHeight="1">
      <c r="B29" s="18">
        <v>46216</v>
      </c>
      <c r="C29" s="19" t="s">
        <v>2</v>
      </c>
      <c r="D29" s="26">
        <v>14.3</v>
      </c>
      <c r="E29" s="26">
        <v>0</v>
      </c>
      <c r="F29" s="26">
        <v>2.5</v>
      </c>
      <c r="G29" s="19">
        <v>65</v>
      </c>
      <c r="H29" s="26">
        <v>0</v>
      </c>
      <c r="I29" s="19">
        <v>10</v>
      </c>
      <c r="J29" s="24">
        <f t="shared" si="0"/>
        <v>0.82517482517482521</v>
      </c>
      <c r="K29" s="24">
        <f t="shared" si="1"/>
        <v>0.55084745762711862</v>
      </c>
      <c r="L29" s="24">
        <f t="shared" si="2"/>
        <v>1</v>
      </c>
      <c r="M29" s="24">
        <f t="shared" si="3"/>
        <v>0.45454545454545453</v>
      </c>
      <c r="N29" s="25">
        <f t="shared" si="4"/>
        <v>11.8</v>
      </c>
      <c r="O29" s="37"/>
      <c r="P29" s="45"/>
      <c r="Z29" s="86">
        <v>46220</v>
      </c>
    </row>
    <row r="30" spans="2:26" s="34" customFormat="1" ht="18" customHeight="1">
      <c r="B30" s="39">
        <v>46217</v>
      </c>
      <c r="C30" s="26" t="s">
        <v>2</v>
      </c>
      <c r="D30" s="26">
        <v>3.9</v>
      </c>
      <c r="E30" s="26">
        <v>0</v>
      </c>
      <c r="F30" s="26">
        <v>0</v>
      </c>
      <c r="G30" s="19">
        <v>25</v>
      </c>
      <c r="H30" s="26">
        <v>0</v>
      </c>
      <c r="I30" s="26">
        <v>10</v>
      </c>
      <c r="J30" s="41">
        <f t="shared" si="0"/>
        <v>1</v>
      </c>
      <c r="K30" s="41">
        <f t="shared" si="1"/>
        <v>0.64102564102564108</v>
      </c>
      <c r="L30" s="41">
        <f t="shared" si="2"/>
        <v>1</v>
      </c>
      <c r="M30" s="41">
        <f t="shared" si="3"/>
        <v>0.64102564102564108</v>
      </c>
      <c r="N30" s="42">
        <f t="shared" si="4"/>
        <v>3.9</v>
      </c>
      <c r="O30" s="37"/>
      <c r="P30" s="45"/>
      <c r="Q30" s="43"/>
      <c r="Z30" s="86">
        <v>46221</v>
      </c>
    </row>
    <row r="31" spans="2:26" ht="18" customHeight="1">
      <c r="B31" s="18">
        <v>46217</v>
      </c>
      <c r="C31" s="19" t="s">
        <v>14</v>
      </c>
      <c r="D31" s="26">
        <v>10.8</v>
      </c>
      <c r="E31" s="26">
        <v>0</v>
      </c>
      <c r="F31" s="26">
        <v>5</v>
      </c>
      <c r="G31" s="19">
        <v>50</v>
      </c>
      <c r="H31" s="26">
        <v>0</v>
      </c>
      <c r="I31" s="19">
        <v>15</v>
      </c>
      <c r="J31" s="41">
        <f t="shared" si="0"/>
        <v>0.53703703703703709</v>
      </c>
      <c r="K31" s="41">
        <f t="shared" si="1"/>
        <v>0.57471264367816077</v>
      </c>
      <c r="L31" s="41">
        <f t="shared" si="2"/>
        <v>1</v>
      </c>
      <c r="M31" s="41">
        <f t="shared" si="3"/>
        <v>0.3086419753086419</v>
      </c>
      <c r="N31" s="42">
        <f t="shared" si="4"/>
        <v>5.8000000000000007</v>
      </c>
      <c r="O31" s="37"/>
      <c r="P31" s="45"/>
      <c r="Z31" s="86">
        <v>46222</v>
      </c>
    </row>
    <row r="32" spans="2:26" ht="18" customHeight="1">
      <c r="B32" s="18">
        <v>46218</v>
      </c>
      <c r="C32" s="19" t="s">
        <v>30</v>
      </c>
      <c r="D32" s="26">
        <v>3.2</v>
      </c>
      <c r="E32" s="26">
        <v>0</v>
      </c>
      <c r="F32" s="26">
        <v>0</v>
      </c>
      <c r="G32" s="19">
        <v>20</v>
      </c>
      <c r="H32" s="26">
        <v>0</v>
      </c>
      <c r="I32" s="19">
        <v>15</v>
      </c>
      <c r="J32" s="41">
        <f t="shared" si="0"/>
        <v>1</v>
      </c>
      <c r="K32" s="41">
        <f t="shared" si="1"/>
        <v>0.41666666666666669</v>
      </c>
      <c r="L32" s="41">
        <f t="shared" si="2"/>
        <v>1</v>
      </c>
      <c r="M32" s="41">
        <f t="shared" si="3"/>
        <v>0.41666666666666669</v>
      </c>
      <c r="N32" s="42">
        <f t="shared" si="4"/>
        <v>3.2</v>
      </c>
      <c r="O32" s="37"/>
      <c r="P32" s="45"/>
      <c r="Z32" s="86">
        <v>46223</v>
      </c>
    </row>
    <row r="33" spans="2:26" s="34" customFormat="1" ht="18" customHeight="1">
      <c r="B33" s="39">
        <v>46218</v>
      </c>
      <c r="C33" s="26" t="s">
        <v>13</v>
      </c>
      <c r="D33" s="26">
        <v>13.7</v>
      </c>
      <c r="E33" s="26">
        <v>0</v>
      </c>
      <c r="F33" s="26">
        <v>10.5</v>
      </c>
      <c r="G33" s="19">
        <v>20</v>
      </c>
      <c r="H33" s="26">
        <v>0</v>
      </c>
      <c r="I33" s="26">
        <v>15</v>
      </c>
      <c r="J33" s="41">
        <f t="shared" si="0"/>
        <v>0.23357664233576639</v>
      </c>
      <c r="K33" s="41">
        <f t="shared" si="1"/>
        <v>0.4166666666666668</v>
      </c>
      <c r="L33" s="41">
        <f t="shared" si="2"/>
        <v>1</v>
      </c>
      <c r="M33" s="41">
        <f t="shared" si="3"/>
        <v>9.732360097323603E-2</v>
      </c>
      <c r="N33" s="42">
        <f t="shared" si="4"/>
        <v>3.1999999999999993</v>
      </c>
      <c r="O33" s="37"/>
      <c r="P33" s="45"/>
      <c r="Q33" s="43"/>
      <c r="Z33" s="86">
        <v>46224</v>
      </c>
    </row>
    <row r="34" spans="2:26" ht="18" customHeight="1">
      <c r="B34" s="18">
        <v>46219</v>
      </c>
      <c r="C34" s="19" t="s">
        <v>13</v>
      </c>
      <c r="D34" s="26">
        <v>8</v>
      </c>
      <c r="E34" s="26">
        <v>0</v>
      </c>
      <c r="F34" s="26">
        <v>0.1</v>
      </c>
      <c r="G34" s="19">
        <v>60</v>
      </c>
      <c r="H34" s="26">
        <v>0</v>
      </c>
      <c r="I34" s="26">
        <v>15</v>
      </c>
      <c r="J34" s="41">
        <f t="shared" si="0"/>
        <v>0.98750000000000004</v>
      </c>
      <c r="K34" s="41">
        <f t="shared" si="1"/>
        <v>0.50632911392405067</v>
      </c>
      <c r="L34" s="41">
        <f t="shared" si="2"/>
        <v>1</v>
      </c>
      <c r="M34" s="41">
        <f t="shared" si="3"/>
        <v>0.50000000000000011</v>
      </c>
      <c r="N34" s="42">
        <f t="shared" si="4"/>
        <v>7.9</v>
      </c>
      <c r="O34" s="37"/>
      <c r="P34" s="45"/>
      <c r="Z34" s="86">
        <v>46225</v>
      </c>
    </row>
    <row r="35" spans="2:26" ht="18" customHeight="1">
      <c r="B35" s="22">
        <v>46220</v>
      </c>
      <c r="C35" s="23" t="s">
        <v>13</v>
      </c>
      <c r="D35" s="26">
        <v>12.6</v>
      </c>
      <c r="E35" s="26">
        <v>0</v>
      </c>
      <c r="F35" s="26">
        <v>6.5</v>
      </c>
      <c r="G35" s="19">
        <v>40</v>
      </c>
      <c r="H35" s="26">
        <v>0</v>
      </c>
      <c r="I35" s="23">
        <v>15</v>
      </c>
      <c r="J35" s="24">
        <f t="shared" si="0"/>
        <v>0.48412698412698413</v>
      </c>
      <c r="K35" s="24">
        <f t="shared" si="1"/>
        <v>0.43715846994535518</v>
      </c>
      <c r="L35" s="24">
        <f t="shared" si="2"/>
        <v>1</v>
      </c>
      <c r="M35" s="24">
        <f t="shared" si="3"/>
        <v>0.21164021164021163</v>
      </c>
      <c r="N35" s="25">
        <f t="shared" si="4"/>
        <v>6.1</v>
      </c>
      <c r="O35" s="37"/>
      <c r="P35" s="45"/>
      <c r="Z35" s="86">
        <v>46226</v>
      </c>
    </row>
    <row r="36" spans="2:26" ht="18" customHeight="1">
      <c r="B36" s="18">
        <v>46221</v>
      </c>
      <c r="C36" s="19" t="s">
        <v>13</v>
      </c>
      <c r="D36" s="23">
        <v>3.6</v>
      </c>
      <c r="E36" s="26">
        <v>0</v>
      </c>
      <c r="F36" s="26">
        <v>0</v>
      </c>
      <c r="G36" s="19">
        <v>25</v>
      </c>
      <c r="H36" s="26">
        <v>0</v>
      </c>
      <c r="I36" s="19">
        <v>15</v>
      </c>
      <c r="J36" s="24">
        <f t="shared" si="0"/>
        <v>1</v>
      </c>
      <c r="K36" s="24">
        <f t="shared" si="1"/>
        <v>0.46296296296296297</v>
      </c>
      <c r="L36" s="24">
        <f t="shared" si="2"/>
        <v>1</v>
      </c>
      <c r="M36" s="24">
        <f t="shared" si="3"/>
        <v>0.46296296296296297</v>
      </c>
      <c r="N36" s="25">
        <f t="shared" si="4"/>
        <v>3.6</v>
      </c>
      <c r="O36" s="37"/>
      <c r="P36" s="45"/>
      <c r="Z36" s="86">
        <v>46227</v>
      </c>
    </row>
    <row r="37" spans="2:26" ht="18" customHeight="1">
      <c r="B37" s="39">
        <v>46221</v>
      </c>
      <c r="C37" s="26" t="s">
        <v>2</v>
      </c>
      <c r="D37" s="26">
        <v>4.2</v>
      </c>
      <c r="E37" s="26">
        <v>0</v>
      </c>
      <c r="F37" s="26">
        <v>0</v>
      </c>
      <c r="G37" s="19">
        <v>25</v>
      </c>
      <c r="H37" s="26">
        <v>0</v>
      </c>
      <c r="I37" s="26">
        <v>10</v>
      </c>
      <c r="J37" s="41">
        <f t="shared" si="0"/>
        <v>1</v>
      </c>
      <c r="K37" s="24">
        <f t="shared" si="1"/>
        <v>0.59523809523809523</v>
      </c>
      <c r="L37" s="41">
        <f t="shared" si="2"/>
        <v>1</v>
      </c>
      <c r="M37" s="24">
        <f t="shared" si="3"/>
        <v>0.59523809523809523</v>
      </c>
      <c r="N37" s="42">
        <f t="shared" si="4"/>
        <v>4.2</v>
      </c>
      <c r="O37" s="37"/>
      <c r="P37" s="45"/>
      <c r="Z37" s="86">
        <v>46228</v>
      </c>
    </row>
    <row r="38" spans="2:26" ht="18" customHeight="1">
      <c r="B38" s="18">
        <v>46221</v>
      </c>
      <c r="C38" s="19" t="s">
        <v>30</v>
      </c>
      <c r="D38" s="26">
        <v>1.2</v>
      </c>
      <c r="E38" s="26">
        <v>0</v>
      </c>
      <c r="F38" s="26">
        <v>0</v>
      </c>
      <c r="G38" s="19">
        <v>10</v>
      </c>
      <c r="H38" s="26">
        <v>0</v>
      </c>
      <c r="I38" s="19">
        <v>15</v>
      </c>
      <c r="J38" s="41">
        <f t="shared" si="0"/>
        <v>1</v>
      </c>
      <c r="K38" s="24">
        <f t="shared" si="1"/>
        <v>0.55555555555555558</v>
      </c>
      <c r="L38" s="41">
        <f t="shared" si="2"/>
        <v>1</v>
      </c>
      <c r="M38" s="24">
        <f t="shared" si="3"/>
        <v>0.55555555555555558</v>
      </c>
      <c r="N38" s="42">
        <f t="shared" si="4"/>
        <v>1.2</v>
      </c>
      <c r="O38" s="44"/>
      <c r="P38" s="45"/>
      <c r="Z38" s="86">
        <v>46229</v>
      </c>
    </row>
    <row r="39" spans="2:26" ht="18" customHeight="1">
      <c r="B39" s="22">
        <v>46222</v>
      </c>
      <c r="C39" s="23" t="s">
        <v>30</v>
      </c>
      <c r="D39" s="26">
        <v>5.6</v>
      </c>
      <c r="E39" s="26">
        <v>0</v>
      </c>
      <c r="F39" s="26">
        <v>0.5</v>
      </c>
      <c r="G39" s="19">
        <v>40</v>
      </c>
      <c r="H39" s="26">
        <v>0</v>
      </c>
      <c r="I39" s="23">
        <v>15</v>
      </c>
      <c r="J39" s="41">
        <f t="shared" si="0"/>
        <v>0.9107142857142857</v>
      </c>
      <c r="K39" s="24">
        <f t="shared" si="1"/>
        <v>0.52287581699346408</v>
      </c>
      <c r="L39" s="41">
        <f t="shared" si="2"/>
        <v>1</v>
      </c>
      <c r="M39" s="24">
        <f t="shared" si="3"/>
        <v>0.47619047619047622</v>
      </c>
      <c r="N39" s="25">
        <f t="shared" si="4"/>
        <v>5.0999999999999996</v>
      </c>
      <c r="O39" s="44"/>
      <c r="P39" s="45"/>
      <c r="Z39" s="86">
        <v>46230</v>
      </c>
    </row>
    <row r="40" spans="2:26" ht="18" customHeight="1">
      <c r="B40" s="18">
        <v>46222</v>
      </c>
      <c r="C40" s="19" t="s">
        <v>14</v>
      </c>
      <c r="D40" s="26">
        <v>2.7</v>
      </c>
      <c r="E40" s="26">
        <v>0</v>
      </c>
      <c r="F40" s="26">
        <v>0</v>
      </c>
      <c r="G40" s="19">
        <v>20</v>
      </c>
      <c r="H40" s="26">
        <v>0</v>
      </c>
      <c r="I40" s="19">
        <v>15</v>
      </c>
      <c r="J40" s="41">
        <f t="shared" si="0"/>
        <v>1</v>
      </c>
      <c r="K40" s="24">
        <f t="shared" si="1"/>
        <v>0.49382716049382713</v>
      </c>
      <c r="L40" s="41">
        <f t="shared" si="2"/>
        <v>1</v>
      </c>
      <c r="M40" s="24">
        <f t="shared" si="3"/>
        <v>0.49382716049382713</v>
      </c>
      <c r="N40" s="25">
        <f t="shared" si="4"/>
        <v>2.7</v>
      </c>
      <c r="O40" s="37"/>
      <c r="P40" s="45"/>
      <c r="Z40" s="86">
        <v>46231</v>
      </c>
    </row>
    <row r="41" spans="2:26" ht="18" customHeight="1">
      <c r="B41" s="22">
        <v>46223</v>
      </c>
      <c r="C41" s="23" t="s">
        <v>14</v>
      </c>
      <c r="D41" s="26">
        <v>7.6</v>
      </c>
      <c r="E41" s="26">
        <v>0</v>
      </c>
      <c r="F41" s="26">
        <v>2.8</v>
      </c>
      <c r="G41" s="19">
        <v>30</v>
      </c>
      <c r="H41" s="26">
        <v>0</v>
      </c>
      <c r="I41" s="23">
        <v>15</v>
      </c>
      <c r="J41" s="24">
        <f t="shared" si="0"/>
        <v>0.63157894736842102</v>
      </c>
      <c r="K41" s="24">
        <f t="shared" si="1"/>
        <v>0.41666666666666669</v>
      </c>
      <c r="L41" s="41">
        <f t="shared" si="2"/>
        <v>1</v>
      </c>
      <c r="M41" s="24">
        <f t="shared" si="3"/>
        <v>0.26315789473684209</v>
      </c>
      <c r="N41" s="25">
        <f t="shared" si="4"/>
        <v>4.8</v>
      </c>
      <c r="O41" s="37"/>
      <c r="P41" s="45"/>
      <c r="Z41" s="86">
        <v>46232</v>
      </c>
    </row>
    <row r="42" spans="2:26" ht="18" customHeight="1">
      <c r="B42" s="18">
        <v>46223</v>
      </c>
      <c r="C42" s="19" t="s">
        <v>30</v>
      </c>
      <c r="D42" s="26">
        <v>2.5</v>
      </c>
      <c r="E42" s="26">
        <v>0</v>
      </c>
      <c r="F42" s="26">
        <v>0</v>
      </c>
      <c r="G42" s="19">
        <v>20</v>
      </c>
      <c r="H42" s="26">
        <v>0</v>
      </c>
      <c r="I42" s="19">
        <v>15</v>
      </c>
      <c r="J42" s="24">
        <f t="shared" si="0"/>
        <v>1</v>
      </c>
      <c r="K42" s="24">
        <f t="shared" si="1"/>
        <v>0.53333333333333333</v>
      </c>
      <c r="L42" s="41">
        <f t="shared" si="2"/>
        <v>1</v>
      </c>
      <c r="M42" s="24">
        <f t="shared" si="3"/>
        <v>0.53333333333333333</v>
      </c>
      <c r="N42" s="25">
        <f t="shared" si="4"/>
        <v>2.5</v>
      </c>
      <c r="O42" s="37"/>
      <c r="P42" s="45"/>
      <c r="Z42" s="86">
        <v>46233</v>
      </c>
    </row>
    <row r="43" spans="2:26" ht="18" customHeight="1">
      <c r="B43" s="18">
        <v>46224</v>
      </c>
      <c r="C43" s="23" t="s">
        <v>30</v>
      </c>
      <c r="D43" s="26">
        <v>4.8</v>
      </c>
      <c r="E43" s="26">
        <v>0</v>
      </c>
      <c r="F43" s="26">
        <v>1.5</v>
      </c>
      <c r="G43" s="19">
        <v>20</v>
      </c>
      <c r="H43" s="26">
        <v>0</v>
      </c>
      <c r="I43" s="23">
        <v>15</v>
      </c>
      <c r="J43" s="24">
        <f t="shared" si="0"/>
        <v>0.6875</v>
      </c>
      <c r="K43" s="24">
        <f t="shared" si="1"/>
        <v>0.40404040404040403</v>
      </c>
      <c r="L43" s="41">
        <f t="shared" si="2"/>
        <v>1</v>
      </c>
      <c r="M43" s="24">
        <f t="shared" si="3"/>
        <v>0.27777777777777779</v>
      </c>
      <c r="N43" s="25">
        <f t="shared" si="4"/>
        <v>3.3</v>
      </c>
      <c r="O43" s="37"/>
      <c r="P43" s="45"/>
      <c r="Z43" s="86">
        <v>46234</v>
      </c>
    </row>
    <row r="44" spans="2:26" ht="15" customHeight="1">
      <c r="B44" s="18">
        <v>46224</v>
      </c>
      <c r="C44" s="23" t="s">
        <v>13</v>
      </c>
      <c r="D44" s="26">
        <v>5.3</v>
      </c>
      <c r="E44" s="26">
        <v>0</v>
      </c>
      <c r="F44" s="26">
        <v>3</v>
      </c>
      <c r="G44" s="19">
        <v>10</v>
      </c>
      <c r="H44" s="26">
        <v>0</v>
      </c>
      <c r="I44" s="23">
        <v>15</v>
      </c>
      <c r="J44" s="24">
        <f t="shared" si="0"/>
        <v>0.43396226415094336</v>
      </c>
      <c r="K44" s="24">
        <f t="shared" si="1"/>
        <v>0.28985507246376813</v>
      </c>
      <c r="L44" s="41">
        <f t="shared" si="2"/>
        <v>1</v>
      </c>
      <c r="M44" s="24">
        <f t="shared" si="3"/>
        <v>0.12578616352201258</v>
      </c>
      <c r="N44" s="25">
        <f t="shared" si="4"/>
        <v>2.2999999999999998</v>
      </c>
      <c r="P44" s="45"/>
    </row>
    <row r="45" spans="2:26" ht="15" customHeight="1">
      <c r="B45" s="18">
        <v>46225</v>
      </c>
      <c r="C45" s="23" t="s">
        <v>13</v>
      </c>
      <c r="D45" s="26">
        <v>5.7</v>
      </c>
      <c r="E45" s="26">
        <v>0</v>
      </c>
      <c r="F45" s="26">
        <v>2.75</v>
      </c>
      <c r="G45" s="19">
        <v>25</v>
      </c>
      <c r="H45" s="26">
        <v>0</v>
      </c>
      <c r="I45" s="23">
        <v>10</v>
      </c>
      <c r="J45" s="24">
        <f t="shared" si="0"/>
        <v>0.51754385964912286</v>
      </c>
      <c r="K45" s="24">
        <f t="shared" si="1"/>
        <v>0.84745762711864403</v>
      </c>
      <c r="L45" s="24">
        <f t="shared" si="2"/>
        <v>1</v>
      </c>
      <c r="M45" s="24">
        <f t="shared" si="3"/>
        <v>0.43859649122807021</v>
      </c>
      <c r="N45" s="25">
        <f t="shared" si="4"/>
        <v>2.95</v>
      </c>
      <c r="P45" s="45"/>
    </row>
    <row r="46" spans="2:26" ht="15" customHeight="1">
      <c r="B46" s="18">
        <v>46226</v>
      </c>
      <c r="C46" s="23" t="s">
        <v>13</v>
      </c>
      <c r="D46" s="26">
        <v>16.7</v>
      </c>
      <c r="E46" s="26">
        <v>0</v>
      </c>
      <c r="F46" s="26">
        <v>7</v>
      </c>
      <c r="G46" s="19">
        <v>75</v>
      </c>
      <c r="H46" s="26">
        <v>0</v>
      </c>
      <c r="I46" s="23">
        <v>15</v>
      </c>
      <c r="J46" s="24">
        <f t="shared" si="0"/>
        <v>0.58083832335329344</v>
      </c>
      <c r="K46" s="24">
        <f t="shared" si="1"/>
        <v>0.51546391752577314</v>
      </c>
      <c r="L46" s="24">
        <f t="shared" si="2"/>
        <v>1</v>
      </c>
      <c r="M46" s="24">
        <f t="shared" si="3"/>
        <v>0.29940119760479039</v>
      </c>
      <c r="N46" s="25">
        <f t="shared" si="4"/>
        <v>9.6999999999999993</v>
      </c>
      <c r="P46" s="45"/>
    </row>
    <row r="47" spans="2:26" ht="15" customHeight="1">
      <c r="B47" s="18">
        <v>46227</v>
      </c>
      <c r="C47" s="23" t="s">
        <v>13</v>
      </c>
      <c r="D47" s="26">
        <v>6.3</v>
      </c>
      <c r="E47" s="26">
        <v>0</v>
      </c>
      <c r="F47" s="26">
        <v>3.5</v>
      </c>
      <c r="G47" s="19">
        <v>20</v>
      </c>
      <c r="H47" s="26">
        <v>0</v>
      </c>
      <c r="I47" s="23">
        <v>15</v>
      </c>
      <c r="J47" s="24">
        <f t="shared" si="0"/>
        <v>0.44444444444444442</v>
      </c>
      <c r="K47" s="24">
        <f t="shared" si="1"/>
        <v>0.47619047619047616</v>
      </c>
      <c r="L47" s="24">
        <f t="shared" si="2"/>
        <v>1</v>
      </c>
      <c r="M47" s="24">
        <f t="shared" si="3"/>
        <v>0.21164021164021163</v>
      </c>
      <c r="N47" s="25">
        <f t="shared" si="4"/>
        <v>2.8</v>
      </c>
    </row>
    <row r="48" spans="2:26" ht="15" customHeight="1">
      <c r="B48" s="18">
        <v>46227</v>
      </c>
      <c r="C48" s="23" t="s">
        <v>12</v>
      </c>
      <c r="D48" s="26">
        <v>15.9</v>
      </c>
      <c r="E48" s="26">
        <v>0</v>
      </c>
      <c r="F48" s="26">
        <v>7</v>
      </c>
      <c r="G48" s="19">
        <v>95</v>
      </c>
      <c r="H48" s="26">
        <v>0</v>
      </c>
      <c r="I48" s="23">
        <v>15</v>
      </c>
      <c r="J48" s="24">
        <f t="shared" si="0"/>
        <v>0.55974842767295596</v>
      </c>
      <c r="K48" s="24">
        <f t="shared" si="1"/>
        <v>0.71161048689138573</v>
      </c>
      <c r="L48" s="24">
        <f t="shared" si="2"/>
        <v>1</v>
      </c>
      <c r="M48" s="24">
        <f t="shared" si="3"/>
        <v>0.39832285115303978</v>
      </c>
      <c r="N48" s="25">
        <f t="shared" si="4"/>
        <v>8.9</v>
      </c>
    </row>
    <row r="49" spans="2:14" ht="15" customHeight="1">
      <c r="B49" s="18">
        <v>46228</v>
      </c>
      <c r="C49" s="23" t="s">
        <v>12</v>
      </c>
      <c r="D49" s="26">
        <v>7.8</v>
      </c>
      <c r="E49" s="26">
        <v>0</v>
      </c>
      <c r="F49" s="26">
        <v>0.5</v>
      </c>
      <c r="G49" s="19">
        <v>90</v>
      </c>
      <c r="H49" s="26">
        <v>0</v>
      </c>
      <c r="I49" s="23">
        <v>15</v>
      </c>
      <c r="J49" s="24">
        <f t="shared" si="0"/>
        <v>0.9358974358974359</v>
      </c>
      <c r="K49" s="24">
        <f t="shared" si="1"/>
        <v>0.82191780821917804</v>
      </c>
      <c r="L49" s="24">
        <f t="shared" si="2"/>
        <v>1</v>
      </c>
      <c r="M49" s="24">
        <f t="shared" si="3"/>
        <v>0.76923076923076916</v>
      </c>
      <c r="N49" s="25">
        <f t="shared" si="4"/>
        <v>7.3</v>
      </c>
    </row>
    <row r="50" spans="2:14" ht="15" customHeight="1">
      <c r="B50" s="18">
        <v>46228</v>
      </c>
      <c r="C50" s="23" t="s">
        <v>13</v>
      </c>
      <c r="D50" s="26">
        <v>11.8</v>
      </c>
      <c r="E50" s="26">
        <v>0</v>
      </c>
      <c r="F50" s="26">
        <v>1.5</v>
      </c>
      <c r="G50" s="19">
        <v>75</v>
      </c>
      <c r="H50" s="26">
        <v>0</v>
      </c>
      <c r="I50" s="23">
        <v>15</v>
      </c>
      <c r="J50" s="24">
        <f t="shared" si="0"/>
        <v>0.8728813559322034</v>
      </c>
      <c r="K50" s="24">
        <f t="shared" si="1"/>
        <v>0.4854368932038835</v>
      </c>
      <c r="L50" s="24">
        <f t="shared" si="2"/>
        <v>1</v>
      </c>
      <c r="M50" s="24">
        <f t="shared" si="3"/>
        <v>0.42372881355932202</v>
      </c>
      <c r="N50" s="25">
        <f t="shared" si="4"/>
        <v>10.3</v>
      </c>
    </row>
    <row r="51" spans="2:14" ht="15" customHeight="1">
      <c r="B51" s="18">
        <v>46229</v>
      </c>
      <c r="C51" s="23" t="s">
        <v>2</v>
      </c>
      <c r="D51" s="26">
        <v>19.600000000000001</v>
      </c>
      <c r="E51" s="26">
        <v>0</v>
      </c>
      <c r="F51" s="26">
        <v>6.5</v>
      </c>
      <c r="G51" s="19">
        <v>70</v>
      </c>
      <c r="H51" s="26">
        <v>0</v>
      </c>
      <c r="I51" s="23">
        <v>15</v>
      </c>
      <c r="J51" s="24">
        <f t="shared" si="0"/>
        <v>0.66836734693877553</v>
      </c>
      <c r="K51" s="24">
        <f t="shared" si="1"/>
        <v>0.35623409669211192</v>
      </c>
      <c r="L51" s="24">
        <f t="shared" si="2"/>
        <v>1</v>
      </c>
      <c r="M51" s="24">
        <f t="shared" si="3"/>
        <v>0.23809523809523808</v>
      </c>
      <c r="N51" s="25">
        <f t="shared" si="4"/>
        <v>13.100000000000001</v>
      </c>
    </row>
    <row r="52" spans="2:14" ht="15" customHeight="1">
      <c r="B52" s="18">
        <v>46229</v>
      </c>
      <c r="C52" s="23" t="s">
        <v>14</v>
      </c>
      <c r="D52" s="26">
        <v>2.2000000000000002</v>
      </c>
      <c r="E52" s="26">
        <v>0</v>
      </c>
      <c r="F52" s="26">
        <v>0.5</v>
      </c>
      <c r="G52" s="19">
        <v>15</v>
      </c>
      <c r="H52" s="26">
        <v>0</v>
      </c>
      <c r="I52" s="23">
        <v>15</v>
      </c>
      <c r="J52" s="24">
        <f t="shared" si="0"/>
        <v>0.77272727272727271</v>
      </c>
      <c r="K52" s="24">
        <f t="shared" si="1"/>
        <v>0.58823529411764697</v>
      </c>
      <c r="L52" s="24">
        <f t="shared" si="2"/>
        <v>1</v>
      </c>
      <c r="M52" s="24">
        <f t="shared" si="3"/>
        <v>0.45454545454545447</v>
      </c>
      <c r="N52" s="25">
        <f t="shared" si="4"/>
        <v>1.7000000000000002</v>
      </c>
    </row>
    <row r="53" spans="2:14" ht="15" customHeight="1">
      <c r="B53" s="18">
        <v>46230</v>
      </c>
      <c r="C53" s="23" t="s">
        <v>14</v>
      </c>
      <c r="D53" s="26">
        <v>4.5999999999999996</v>
      </c>
      <c r="E53" s="26">
        <v>0</v>
      </c>
      <c r="F53" s="26">
        <v>0</v>
      </c>
      <c r="G53" s="19">
        <v>35</v>
      </c>
      <c r="H53" s="26">
        <v>0</v>
      </c>
      <c r="I53" s="23">
        <v>15</v>
      </c>
      <c r="J53" s="24">
        <f t="shared" si="0"/>
        <v>1</v>
      </c>
      <c r="K53" s="24">
        <f t="shared" si="1"/>
        <v>0.50724637681159424</v>
      </c>
      <c r="L53" s="24">
        <f t="shared" si="2"/>
        <v>1</v>
      </c>
      <c r="M53" s="24">
        <f t="shared" si="3"/>
        <v>0.50724637681159424</v>
      </c>
      <c r="N53" s="25">
        <f t="shared" si="4"/>
        <v>4.5999999999999996</v>
      </c>
    </row>
    <row r="54" spans="2:14" ht="15" customHeight="1">
      <c r="B54" s="18">
        <v>46230</v>
      </c>
      <c r="C54" s="23" t="s">
        <v>30</v>
      </c>
      <c r="D54" s="26">
        <v>8.1999999999999993</v>
      </c>
      <c r="E54" s="26">
        <v>0</v>
      </c>
      <c r="F54" s="26">
        <v>2.25</v>
      </c>
      <c r="G54" s="19">
        <v>50</v>
      </c>
      <c r="H54" s="26">
        <v>0</v>
      </c>
      <c r="I54" s="23">
        <v>15</v>
      </c>
      <c r="J54" s="24">
        <f t="shared" si="0"/>
        <v>0.72560975609756095</v>
      </c>
      <c r="K54" s="24">
        <f t="shared" si="1"/>
        <v>0.56022408963585446</v>
      </c>
      <c r="L54" s="24">
        <f t="shared" si="2"/>
        <v>1</v>
      </c>
      <c r="M54" s="24">
        <f t="shared" si="3"/>
        <v>0.40650406504065051</v>
      </c>
      <c r="N54" s="25">
        <f t="shared" si="4"/>
        <v>5.9499999999999993</v>
      </c>
    </row>
    <row r="55" spans="2:14" ht="15" customHeight="1">
      <c r="B55" s="18">
        <v>46230</v>
      </c>
      <c r="C55" s="23" t="s">
        <v>13</v>
      </c>
      <c r="D55" s="26">
        <v>7</v>
      </c>
      <c r="E55" s="26">
        <v>0</v>
      </c>
      <c r="F55" s="26">
        <v>0.5</v>
      </c>
      <c r="G55" s="19">
        <v>50</v>
      </c>
      <c r="H55" s="26">
        <v>0</v>
      </c>
      <c r="I55" s="23">
        <v>15</v>
      </c>
      <c r="J55" s="24">
        <f t="shared" si="0"/>
        <v>0.9285714285714286</v>
      </c>
      <c r="K55" s="24">
        <f t="shared" si="1"/>
        <v>0.51282051282051277</v>
      </c>
      <c r="L55" s="24">
        <f t="shared" si="2"/>
        <v>1</v>
      </c>
      <c r="M55" s="24">
        <f t="shared" si="3"/>
        <v>0.47619047619047616</v>
      </c>
      <c r="N55" s="25">
        <f t="shared" si="4"/>
        <v>6.5</v>
      </c>
    </row>
    <row r="56" spans="2:14" ht="15" customHeight="1">
      <c r="B56" s="18">
        <v>46231</v>
      </c>
      <c r="C56" s="23" t="s">
        <v>2</v>
      </c>
      <c r="D56" s="26">
        <v>15.8</v>
      </c>
      <c r="E56" s="26">
        <v>0</v>
      </c>
      <c r="F56" s="26">
        <v>0</v>
      </c>
      <c r="G56" s="19">
        <v>100</v>
      </c>
      <c r="H56" s="26">
        <v>0</v>
      </c>
      <c r="I56" s="23">
        <v>10</v>
      </c>
      <c r="J56" s="24">
        <f t="shared" si="0"/>
        <v>1</v>
      </c>
      <c r="K56" s="24">
        <f t="shared" si="1"/>
        <v>0.63291139240506333</v>
      </c>
      <c r="L56" s="24">
        <f t="shared" si="2"/>
        <v>1</v>
      </c>
      <c r="M56" s="24">
        <f t="shared" si="3"/>
        <v>0.63291139240506333</v>
      </c>
      <c r="N56" s="25">
        <f t="shared" si="4"/>
        <v>15.8</v>
      </c>
    </row>
    <row r="57" spans="2:14" ht="15" customHeight="1">
      <c r="B57" s="18">
        <v>46232</v>
      </c>
      <c r="C57" s="23" t="s">
        <v>12</v>
      </c>
      <c r="D57" s="26">
        <v>15.1</v>
      </c>
      <c r="E57" s="26">
        <v>0</v>
      </c>
      <c r="F57" s="26">
        <v>1.5</v>
      </c>
      <c r="G57" s="19">
        <v>120</v>
      </c>
      <c r="H57" s="26">
        <v>0</v>
      </c>
      <c r="I57" s="23">
        <v>15</v>
      </c>
      <c r="J57" s="24">
        <f t="shared" si="0"/>
        <v>0.90066225165562919</v>
      </c>
      <c r="K57" s="24">
        <f t="shared" si="1"/>
        <v>0.58823529411764708</v>
      </c>
      <c r="L57" s="24">
        <f t="shared" si="2"/>
        <v>1</v>
      </c>
      <c r="M57" s="24">
        <f t="shared" si="3"/>
        <v>0.5298013245033113</v>
      </c>
      <c r="N57" s="25">
        <f t="shared" si="4"/>
        <v>13.6</v>
      </c>
    </row>
    <row r="58" spans="2:14" ht="15" customHeight="1">
      <c r="B58" s="18">
        <v>46233</v>
      </c>
      <c r="C58" s="23" t="s">
        <v>14</v>
      </c>
      <c r="D58" s="26">
        <v>7.4</v>
      </c>
      <c r="E58" s="26">
        <v>0</v>
      </c>
      <c r="F58" s="26">
        <v>0.5</v>
      </c>
      <c r="G58" s="19">
        <v>50</v>
      </c>
      <c r="H58" s="26">
        <v>0</v>
      </c>
      <c r="I58" s="23">
        <v>15</v>
      </c>
      <c r="J58" s="24">
        <f t="shared" si="0"/>
        <v>0.93243243243243246</v>
      </c>
      <c r="K58" s="24">
        <f t="shared" si="1"/>
        <v>0.48309178743961351</v>
      </c>
      <c r="L58" s="24">
        <f t="shared" si="2"/>
        <v>1</v>
      </c>
      <c r="M58" s="24">
        <f t="shared" si="3"/>
        <v>0.45045045045045046</v>
      </c>
      <c r="N58" s="25">
        <f t="shared" si="4"/>
        <v>6.9</v>
      </c>
    </row>
    <row r="59" spans="2:14" ht="15" customHeight="1">
      <c r="B59" s="18">
        <v>46233</v>
      </c>
      <c r="C59" s="23" t="s">
        <v>30</v>
      </c>
      <c r="D59" s="26">
        <v>7.9</v>
      </c>
      <c r="E59" s="26">
        <v>0</v>
      </c>
      <c r="F59" s="26">
        <v>1.6</v>
      </c>
      <c r="G59" s="19">
        <v>45</v>
      </c>
      <c r="H59" s="26">
        <v>0</v>
      </c>
      <c r="I59" s="23">
        <v>15</v>
      </c>
      <c r="J59" s="24">
        <f t="shared" si="0"/>
        <v>0.79746835443037978</v>
      </c>
      <c r="K59" s="24">
        <f t="shared" si="1"/>
        <v>0.47619047619047611</v>
      </c>
      <c r="L59" s="24">
        <f t="shared" si="2"/>
        <v>1</v>
      </c>
      <c r="M59" s="24">
        <f t="shared" si="3"/>
        <v>0.37974683544303794</v>
      </c>
      <c r="N59" s="25">
        <f t="shared" si="4"/>
        <v>6.3000000000000007</v>
      </c>
    </row>
    <row r="60" spans="2:14" ht="15" customHeight="1">
      <c r="B60" s="18">
        <v>46234</v>
      </c>
      <c r="C60" s="23" t="s">
        <v>30</v>
      </c>
      <c r="D60" s="26">
        <v>2.9</v>
      </c>
      <c r="E60" s="26">
        <v>0</v>
      </c>
      <c r="F60" s="26">
        <v>0.5</v>
      </c>
      <c r="G60" s="19">
        <v>15</v>
      </c>
      <c r="H60" s="26">
        <v>0</v>
      </c>
      <c r="I60" s="23">
        <v>15</v>
      </c>
      <c r="J60" s="24">
        <f t="shared" si="0"/>
        <v>0.82758620689655171</v>
      </c>
      <c r="K60" s="24">
        <f t="shared" si="1"/>
        <v>0.41666666666666669</v>
      </c>
      <c r="L60" s="24">
        <f t="shared" si="2"/>
        <v>1</v>
      </c>
      <c r="M60" s="24">
        <f t="shared" si="3"/>
        <v>0.34482758620689657</v>
      </c>
      <c r="N60" s="25">
        <f t="shared" si="4"/>
        <v>2.4</v>
      </c>
    </row>
    <row r="61" spans="2:14" ht="15" customHeight="1">
      <c r="B61" s="18">
        <v>46234</v>
      </c>
      <c r="C61" s="23" t="s">
        <v>13</v>
      </c>
      <c r="D61" s="26">
        <v>11.7</v>
      </c>
      <c r="E61" s="26">
        <v>0</v>
      </c>
      <c r="F61" s="26">
        <v>0</v>
      </c>
      <c r="G61" s="19">
        <v>80</v>
      </c>
      <c r="H61" s="26">
        <v>0</v>
      </c>
      <c r="I61" s="23">
        <v>15</v>
      </c>
      <c r="J61" s="24">
        <f t="shared" si="0"/>
        <v>1</v>
      </c>
      <c r="K61" s="24">
        <f t="shared" si="1"/>
        <v>0.45584045584045585</v>
      </c>
      <c r="L61" s="24">
        <f t="shared" si="2"/>
        <v>1</v>
      </c>
      <c r="M61" s="24">
        <f t="shared" si="3"/>
        <v>0.45584045584045585</v>
      </c>
      <c r="N61" s="25">
        <f t="shared" si="4"/>
        <v>11.7</v>
      </c>
    </row>
    <row r="62" spans="2:14" ht="15" customHeight="1">
      <c r="B62" s="18"/>
      <c r="C62" s="23"/>
      <c r="D62" s="26"/>
      <c r="E62" s="26"/>
      <c r="F62" s="26"/>
      <c r="G62" s="19"/>
      <c r="H62" s="23"/>
      <c r="I62" s="23"/>
      <c r="J62" s="24"/>
      <c r="K62" s="24"/>
      <c r="L62" s="24"/>
      <c r="M62" s="24"/>
      <c r="N62" s="25"/>
    </row>
    <row r="63" spans="2:14" ht="15" customHeight="1">
      <c r="B63" s="18"/>
      <c r="C63" s="23"/>
      <c r="D63" s="26"/>
      <c r="E63" s="26"/>
      <c r="F63" s="26"/>
      <c r="G63" s="19"/>
      <c r="H63" s="23"/>
      <c r="I63" s="23"/>
      <c r="J63" s="24"/>
      <c r="K63" s="24"/>
      <c r="L63" s="24"/>
      <c r="M63" s="24"/>
      <c r="N63" s="25"/>
    </row>
    <row r="64" spans="2:14" ht="15" customHeight="1">
      <c r="B64" s="18"/>
      <c r="C64" s="23"/>
      <c r="D64" s="26"/>
      <c r="E64" s="26"/>
      <c r="F64" s="26"/>
      <c r="G64" s="19"/>
      <c r="H64" s="23"/>
      <c r="I64" s="23"/>
      <c r="J64" s="24"/>
      <c r="K64" s="24"/>
      <c r="L64" s="24"/>
      <c r="M64" s="24"/>
      <c r="N64" s="25"/>
    </row>
    <row r="65" spans="2:14" ht="15" customHeight="1">
      <c r="B65" s="18"/>
      <c r="C65" s="23"/>
      <c r="D65" s="26"/>
      <c r="E65" s="26"/>
      <c r="F65" s="26"/>
      <c r="G65" s="19"/>
      <c r="H65" s="23"/>
      <c r="I65" s="23"/>
      <c r="J65" s="24"/>
      <c r="K65" s="24"/>
      <c r="L65" s="24"/>
      <c r="M65" s="24"/>
      <c r="N65" s="25"/>
    </row>
  </sheetData>
  <mergeCells count="7">
    <mergeCell ref="M7:N7"/>
    <mergeCell ref="M6:N6"/>
    <mergeCell ref="P11:U12"/>
    <mergeCell ref="B13:N13"/>
    <mergeCell ref="B3:N4"/>
    <mergeCell ref="P3:U4"/>
    <mergeCell ref="Q13:R14"/>
  </mergeCells>
  <dataValidations count="2">
    <dataValidation type="list" showDropDown="1" sqref="P14" xr:uid="{00000000-0002-0000-0300-000000000000}">
      <formula1>$Z$15:$Z$43</formula1>
    </dataValidation>
    <dataValidation type="list" allowBlank="1" errorTitle="Date invalide" error="Veuillez sélectionner une date valide dans la liste." promptTitle="Choix de la date" prompt="Sélectionnez une date" sqref="P14" xr:uid="{00000000-0002-0000-0300-000001000000}">
      <formula1>$B$15:$B$61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5">
    <pageSetUpPr fitToPage="1"/>
  </sheetPr>
  <dimension ref="B1:Z74"/>
  <sheetViews>
    <sheetView showGridLines="0" showRowColHeaders="0" zoomScaleNormal="100" workbookViewId="0">
      <pane ySplit="1" topLeftCell="A41" activePane="bottomLeft" state="frozen"/>
      <selection pane="bottomLeft" activeCell="R31" sqref="R31"/>
    </sheetView>
  </sheetViews>
  <sheetFormatPr baseColWidth="10" defaultColWidth="9.140625" defaultRowHeight="15"/>
  <cols>
    <col min="1" max="1" width="6.7109375" customWidth="1"/>
    <col min="2" max="2" width="16.7109375" style="2" customWidth="1"/>
    <col min="3" max="14" width="16.7109375" customWidth="1"/>
    <col min="15" max="15" width="1.42578125" style="34" customWidth="1"/>
    <col min="16" max="16" width="11.28515625" customWidth="1"/>
    <col min="17" max="17" width="9.140625" style="33" customWidth="1"/>
    <col min="19" max="19" width="7.5703125" customWidth="1"/>
    <col min="20" max="20" width="1.42578125" customWidth="1"/>
    <col min="21" max="21" width="2.140625" customWidth="1"/>
    <col min="22" max="24" width="10" hidden="1" customWidth="1"/>
    <col min="25" max="25" width="9" hidden="1" customWidth="1"/>
    <col min="26" max="26" width="12" hidden="1" customWidth="1"/>
  </cols>
  <sheetData>
    <row r="1" spans="2:26" ht="9.75" customHeight="1"/>
    <row r="2" spans="2:26" ht="9.75" customHeight="1"/>
    <row r="3" spans="2:26" ht="15" customHeight="1" thickBot="1">
      <c r="B3" s="124" t="s">
        <v>40</v>
      </c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6"/>
      <c r="P3" s="140" t="s">
        <v>41</v>
      </c>
      <c r="Q3" s="125"/>
      <c r="R3" s="125"/>
      <c r="S3" s="125"/>
      <c r="T3" s="125"/>
      <c r="U3" s="139"/>
      <c r="V3" s="115" t="s">
        <v>42</v>
      </c>
      <c r="W3" s="99"/>
      <c r="X3" s="99"/>
      <c r="Y3" s="99"/>
      <c r="Z3" s="99"/>
    </row>
    <row r="4" spans="2:26" ht="15" customHeight="1" thickTop="1" thickBot="1">
      <c r="B4" s="127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10"/>
      <c r="P4" s="141"/>
      <c r="Q4" s="104"/>
      <c r="R4" s="99"/>
      <c r="S4" s="99"/>
      <c r="T4" s="99"/>
      <c r="U4" s="119"/>
    </row>
    <row r="5" spans="2:26" ht="1.5" customHeight="1">
      <c r="B5" s="60"/>
      <c r="N5" s="56"/>
      <c r="P5" s="55"/>
      <c r="U5" s="56"/>
      <c r="V5" s="48" t="s">
        <v>22</v>
      </c>
      <c r="W5" s="48" t="s">
        <v>25</v>
      </c>
      <c r="X5" s="48" t="s">
        <v>26</v>
      </c>
      <c r="Y5" s="48" t="s">
        <v>28</v>
      </c>
      <c r="Z5" s="48" t="s">
        <v>29</v>
      </c>
    </row>
    <row r="6" spans="2:26" ht="44.25" customHeight="1">
      <c r="B6" s="60"/>
      <c r="C6" s="77">
        <v>2500</v>
      </c>
      <c r="D6" s="73">
        <f>IF(C6&gt;0, SUM(G15:G61)/C6, 0)</f>
        <v>1.0251999999999999</v>
      </c>
      <c r="F6" s="74">
        <f>IFERROR(AVERAGE(J15:J44), 0)</f>
        <v>0.89615466359436557</v>
      </c>
      <c r="G6" s="74">
        <f>IFERROR(AVERAGE(K15:K44), 0)</f>
        <v>0.59190381980673157</v>
      </c>
      <c r="H6" s="74">
        <f>IFERROR(AVERAGE(L15:L44), 0)</f>
        <v>1</v>
      </c>
      <c r="I6" s="75">
        <f>IFERROR(AVERAGE(M15:M61), 0)</f>
        <v>0.4941076568658625</v>
      </c>
      <c r="K6" s="76">
        <f>SUM(G15:G61)</f>
        <v>2563</v>
      </c>
      <c r="L6" s="78">
        <f>SUM(H15:H61)</f>
        <v>0</v>
      </c>
      <c r="M6" s="134">
        <f>SUM(N15:N61)</f>
        <v>303.62</v>
      </c>
      <c r="N6" s="119"/>
      <c r="P6" s="55"/>
      <c r="Q6" s="10" t="s">
        <v>2</v>
      </c>
      <c r="R6" s="68">
        <f>SUMIF(C15:C91,Q6,G15:G131)</f>
        <v>455</v>
      </c>
      <c r="S6" s="71">
        <f>R6/SUM(R6:R10)</f>
        <v>0.17752633632461959</v>
      </c>
      <c r="U6" s="56"/>
      <c r="V6" s="49">
        <f>IFERROR(INDEX($G$15:$G$65,SUMPRODUCT(MAX(($C$15:$C$65=Q6)*ROW($C$15:$C$65)))-ROW($C$15)+1),"-")</f>
        <v>60</v>
      </c>
      <c r="W6" s="50">
        <f>IFERROR(INDEX($J$15:$J$65,SUMPRODUCT(MAX(($C$15:$C$65=Q6)*ROW($C$15:$C$65)))-ROW($C$15)+1),"-")</f>
        <v>0.748</v>
      </c>
      <c r="X6" s="50">
        <f>IFERROR(INDEX($K$15:$K$65,SUMPRODUCT(MAX(($C$15:$C$65=Q6)*ROW($C$15:$C$65)))-ROW($C$15)+1),"-")</f>
        <v>0.64171122994652408</v>
      </c>
      <c r="Y6" s="50">
        <f>IFERROR(INDEX($M$15:$M$65,SUMPRODUCT(MAX(($C$15:$C$65=Q6)*ROW($C$15:$C$65)))-ROW($C$15)+1),"-")</f>
        <v>0.48</v>
      </c>
      <c r="Z6" s="51">
        <f>IFERROR(INDEX($N$15:$N$65,SUMPRODUCT(MAX(($C$15:$C$65=Q6)*ROW($C$15:$C$65)))-ROW($C$15)+1),"-")</f>
        <v>9.35</v>
      </c>
    </row>
    <row r="7" spans="2:26" ht="15" customHeight="1">
      <c r="B7" s="60"/>
      <c r="C7" s="12" t="s">
        <v>3</v>
      </c>
      <c r="D7" s="12" t="s">
        <v>4</v>
      </c>
      <c r="F7" s="12" t="s">
        <v>5</v>
      </c>
      <c r="G7" s="12" t="s">
        <v>6</v>
      </c>
      <c r="H7" s="12" t="s">
        <v>7</v>
      </c>
      <c r="I7" s="12" t="s">
        <v>8</v>
      </c>
      <c r="K7" s="12" t="s">
        <v>9</v>
      </c>
      <c r="L7" s="12" t="s">
        <v>10</v>
      </c>
      <c r="M7" s="133" t="s">
        <v>34</v>
      </c>
      <c r="N7" s="119"/>
      <c r="P7" s="55"/>
      <c r="Q7" s="67" t="s">
        <v>12</v>
      </c>
      <c r="R7" s="68">
        <f>SUMIF(C15:C92,Q7,G15:G132)</f>
        <v>522</v>
      </c>
      <c r="S7" s="71">
        <f>R7/SUM(R6:R10)</f>
        <v>0.20366757705813499</v>
      </c>
      <c r="U7" s="56"/>
      <c r="V7" s="49">
        <f>IFERROR(INDEX($G$15:$G$65,SUMPRODUCT(MAX(($C$15:$C$65=Q7)*ROW($C$15:$C$65)))-ROW($C$15)+1),"-")</f>
        <v>10</v>
      </c>
      <c r="W7" s="50">
        <f>IFERROR(INDEX($J$15:$J$65,SUMPRODUCT(MAX(($C$15:$C$65=Q7)*ROW($C$15:$C$65)))-ROW($C$15)+1),"-")</f>
        <v>1</v>
      </c>
      <c r="X7" s="50">
        <f>IFERROR(INDEX($K$15:$K$65,SUMPRODUCT(MAX(($C$15:$C$65=Q7)*ROW($C$15:$C$65)))-ROW($C$15)+1),"-")</f>
        <v>0.47619047619047616</v>
      </c>
      <c r="Y7" s="50">
        <f>IFERROR(INDEX($M$15:$M$65,SUMPRODUCT(MAX(($C$15:$C$65=Q7)*ROW($C$15:$C$65)))-ROW($C$15)+1),"-")</f>
        <v>0.47619047619047616</v>
      </c>
      <c r="Z7" s="51">
        <f>IFERROR(INDEX($N$15:$N$65,SUMPRODUCT(MAX(($C$15:$C$65=Q7)*ROW($C$15:$C$65)))-ROW($C$15)+1),"-")</f>
        <v>1.4</v>
      </c>
    </row>
    <row r="8" spans="2:26" ht="15" customHeight="1">
      <c r="B8" s="60"/>
      <c r="N8" s="56"/>
      <c r="P8" s="55"/>
      <c r="Q8" s="67" t="s">
        <v>13</v>
      </c>
      <c r="R8" s="68">
        <f>SUMIF(C15:C93,Q8,G15:G133)</f>
        <v>738.5</v>
      </c>
      <c r="S8" s="71">
        <f>R8/SUM(R6:R11)</f>
        <v>0.28813889972688256</v>
      </c>
      <c r="U8" s="56"/>
      <c r="V8" s="49">
        <f>IFERROR(INDEX($G$15:$G$65,SUMPRODUCT(MAX(($C$15:$C$65=Q8)*ROW($C$15:$C$65)))-ROW($C$15)+1),"-")</f>
        <v>13.5</v>
      </c>
      <c r="W8" s="50">
        <f>IFERROR(INDEX($J$15:$J$65,SUMPRODUCT(MAX(($C$15:$C$65=Q8)*ROW($C$15:$C$65)))-ROW($C$15)+1),"-")</f>
        <v>1</v>
      </c>
      <c r="X8" s="50">
        <f>IFERROR(INDEX($K$15:$K$65,SUMPRODUCT(MAX(($C$15:$C$65=Q8)*ROW($C$15:$C$65)))-ROW($C$15)+1),"-")</f>
        <v>0.6428571428571429</v>
      </c>
      <c r="Y8" s="50">
        <f>IFERROR(INDEX($M$15:$M$65,SUMPRODUCT(MAX(($C$15:$C$65=Q8)*ROW($C$15:$C$65)))-ROW($C$15)+1),"-")</f>
        <v>0.6428571428571429</v>
      </c>
      <c r="Z8" s="51">
        <f>IFERROR(INDEX($N$15:$N$65,SUMPRODUCT(MAX(($C$15:$C$65=Q8)*ROW($C$15:$C$65)))-ROW($C$15)+1),"-")</f>
        <v>1.4</v>
      </c>
    </row>
    <row r="9" spans="2:26" ht="15" customHeight="1">
      <c r="B9" s="60"/>
      <c r="N9" s="56"/>
      <c r="P9" s="55"/>
      <c r="Q9" s="67" t="s">
        <v>14</v>
      </c>
      <c r="R9" s="68">
        <f>SUMIF(C15:C94,Q9,G15:G134)</f>
        <v>187.5</v>
      </c>
      <c r="S9" s="71">
        <f>R9/SUM(R6:R12)</f>
        <v>7.315645727662895E-2</v>
      </c>
      <c r="U9" s="56"/>
      <c r="V9" s="49">
        <f>IFERROR(INDEX($G$15:$G$65,SUMPRODUCT(MAX(($C$15:$C$65=Q9)*ROW($C$15:$C$65)))-ROW($C$15)+1),"-")</f>
        <v>17.5</v>
      </c>
      <c r="W9" s="50">
        <f>IFERROR(INDEX($J$15:$J$65,SUMPRODUCT(MAX(($C$15:$C$65=Q9)*ROW($C$15:$C$65)))-ROW($C$15)+1),"-")</f>
        <v>1</v>
      </c>
      <c r="X9" s="50">
        <f>IFERROR(INDEX($K$15:$K$65,SUMPRODUCT(MAX(($C$15:$C$65=Q9)*ROW($C$15:$C$65)))-ROW($C$15)+1),"-")</f>
        <v>0.55555555555555558</v>
      </c>
      <c r="Y9" s="50">
        <f>IFERROR(INDEX($M$15:$M$65,SUMPRODUCT(MAX(($C$15:$C$65=Q9)*ROW($C$15:$C$65)))-ROW($C$15)+1),"-")</f>
        <v>0.55555555555555558</v>
      </c>
      <c r="Z9" s="51">
        <f>IFERROR(INDEX($N$15:$N$65,SUMPRODUCT(MAX(($C$15:$C$65=Q9)*ROW($C$15:$C$65)))-ROW($C$15)+1),"-")</f>
        <v>2.1</v>
      </c>
    </row>
    <row r="10" spans="2:26" ht="15" customHeight="1">
      <c r="B10" s="61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9"/>
      <c r="P10" s="57"/>
      <c r="Q10" s="69" t="s">
        <v>30</v>
      </c>
      <c r="R10" s="70">
        <f>SUMIF(C16:C95,Q10,G16:G135)</f>
        <v>660</v>
      </c>
      <c r="S10" s="72">
        <f>R10/SUM(R6:R13)</f>
        <v>0.25751072961373389</v>
      </c>
      <c r="T10" s="58"/>
      <c r="U10" s="59"/>
      <c r="V10" s="49">
        <f>IFERROR(INDEX($G$15:$G$65,SUMPRODUCT(MAX(($C$15:$C$65=Q10)*ROW($C$15:$C$65)))-ROW($C$15)+1),"-")</f>
        <v>105</v>
      </c>
      <c r="W10" s="50">
        <f>IFERROR(INDEX($J$15:$J$65,SUMPRODUCT(MAX(($C$15:$C$65=Q10)*ROW($C$15:$C$65)))-ROW($C$15)+1),"-")</f>
        <v>0.9285714285714286</v>
      </c>
      <c r="X10" s="50">
        <f>IFERROR(INDEX($K$15:$K$65,SUMPRODUCT(MAX(($C$15:$C$65=Q10)*ROW($C$15:$C$65)))-ROW($C$15)+1),"-")</f>
        <v>0.63636363636363635</v>
      </c>
      <c r="Y10" s="50">
        <f>IFERROR(INDEX($M$15:$M$65,SUMPRODUCT(MAX(($C$15:$C$65=Q10)*ROW($C$15:$C$65)))-ROW($C$15)+1),"-")</f>
        <v>0.59090909090909094</v>
      </c>
      <c r="Z10" s="51">
        <f>IFERROR(INDEX($N$15:$N$65,SUMPRODUCT(MAX(($C$15:$C$65=Q10)*ROW($C$15:$C$65)))-ROW($C$15)+1),"-")</f>
        <v>11</v>
      </c>
    </row>
    <row r="11" spans="2:26" ht="4.5" customHeight="1">
      <c r="P11" s="103"/>
      <c r="Q11" s="104"/>
      <c r="R11" s="99"/>
      <c r="S11" s="99"/>
      <c r="T11" s="99"/>
      <c r="U11" s="99"/>
    </row>
    <row r="12" spans="2:26" ht="4.5" customHeight="1">
      <c r="P12" s="99"/>
      <c r="Q12" s="104"/>
      <c r="R12" s="99"/>
      <c r="S12" s="99"/>
      <c r="T12" s="99"/>
      <c r="U12" s="99"/>
      <c r="V12" s="35">
        <v>3</v>
      </c>
    </row>
    <row r="13" spans="2:26" ht="24.75" customHeight="1" thickBot="1">
      <c r="B13" s="138" t="s">
        <v>16</v>
      </c>
      <c r="C13" s="125"/>
      <c r="D13" s="125"/>
      <c r="E13" s="125"/>
      <c r="F13" s="125"/>
      <c r="G13" s="125"/>
      <c r="H13" s="125"/>
      <c r="I13" s="125"/>
      <c r="J13" s="125"/>
      <c r="K13" s="125"/>
      <c r="L13" s="125"/>
      <c r="M13" s="125"/>
      <c r="N13" s="139"/>
      <c r="P13" s="129" t="s">
        <v>15</v>
      </c>
      <c r="Q13" s="130"/>
      <c r="R13" s="130"/>
      <c r="S13" s="130"/>
      <c r="T13" s="130"/>
      <c r="U13" s="131"/>
    </row>
    <row r="14" spans="2:26" ht="39" customHeight="1">
      <c r="B14" s="62" t="s">
        <v>17</v>
      </c>
      <c r="C14" s="17" t="s">
        <v>18</v>
      </c>
      <c r="D14" s="47" t="s">
        <v>35</v>
      </c>
      <c r="E14" s="17" t="s">
        <v>20</v>
      </c>
      <c r="F14" s="17" t="s">
        <v>21</v>
      </c>
      <c r="G14" s="17" t="s">
        <v>22</v>
      </c>
      <c r="H14" s="17" t="s">
        <v>23</v>
      </c>
      <c r="I14" s="47" t="s">
        <v>36</v>
      </c>
      <c r="J14" s="17" t="s">
        <v>25</v>
      </c>
      <c r="K14" s="17" t="s">
        <v>37</v>
      </c>
      <c r="L14" s="17" t="s">
        <v>27</v>
      </c>
      <c r="M14" s="17" t="s">
        <v>38</v>
      </c>
      <c r="N14" s="63" t="s">
        <v>29</v>
      </c>
      <c r="O14" s="36"/>
      <c r="P14" s="135">
        <v>46265</v>
      </c>
      <c r="Q14" s="136"/>
      <c r="R14" s="136"/>
      <c r="S14" s="136"/>
      <c r="T14" s="136"/>
      <c r="U14" s="137"/>
    </row>
    <row r="15" spans="2:26" ht="18" customHeight="1">
      <c r="B15" s="64">
        <v>46237</v>
      </c>
      <c r="C15" s="19" t="s">
        <v>2</v>
      </c>
      <c r="D15" s="19">
        <v>7.45</v>
      </c>
      <c r="E15" s="19">
        <v>0</v>
      </c>
      <c r="F15" s="19">
        <v>0</v>
      </c>
      <c r="G15" s="19">
        <v>45</v>
      </c>
      <c r="H15" s="19">
        <v>0</v>
      </c>
      <c r="I15" s="19">
        <v>10</v>
      </c>
      <c r="J15" s="20">
        <f t="shared" ref="J15:J58" si="0">IF(D15&gt;0, (D15-F15)/D15, "")</f>
        <v>1</v>
      </c>
      <c r="K15" s="20">
        <f t="shared" ref="K15:K46" si="1">IF((D15-E15-F15)*I15&gt;0, G15/((D15-E15-F15)*I15), "")</f>
        <v>0.60402684563758391</v>
      </c>
      <c r="L15" s="20">
        <f t="shared" ref="L15:L58" si="2">IF(G15&gt;0, (G15-H15)/G15, "")</f>
        <v>1</v>
      </c>
      <c r="M15" s="20">
        <f t="shared" ref="M15:M58" si="3">IF(AND(ISNUMBER(J15), ISNUMBER(K15), ISNUMBER(L15)), J15*K15*L15, "")</f>
        <v>0.60402684563758391</v>
      </c>
      <c r="N15" s="65">
        <f t="shared" ref="N15:N46" si="4">IF(D15&gt;0, D15-E15-F15, "")</f>
        <v>7.45</v>
      </c>
      <c r="O15" s="37"/>
      <c r="P15" s="80"/>
      <c r="Q15" s="81"/>
      <c r="R15" s="82"/>
      <c r="S15" s="81"/>
      <c r="T15" s="81"/>
      <c r="U15" s="83"/>
      <c r="W15" s="52"/>
      <c r="X15" s="52"/>
      <c r="Y15" s="52"/>
      <c r="Z15" s="86">
        <v>46237</v>
      </c>
    </row>
    <row r="16" spans="2:26" ht="18" customHeight="1">
      <c r="B16" s="66">
        <v>46238</v>
      </c>
      <c r="C16" s="26" t="s">
        <v>2</v>
      </c>
      <c r="D16" s="26">
        <v>1</v>
      </c>
      <c r="E16" s="26">
        <v>0</v>
      </c>
      <c r="F16" s="26">
        <v>0</v>
      </c>
      <c r="G16" s="26">
        <v>5</v>
      </c>
      <c r="H16" s="26">
        <v>0</v>
      </c>
      <c r="I16" s="26">
        <v>10</v>
      </c>
      <c r="J16" s="41">
        <f t="shared" si="0"/>
        <v>1</v>
      </c>
      <c r="K16" s="41">
        <f t="shared" si="1"/>
        <v>0.5</v>
      </c>
      <c r="L16" s="41">
        <f t="shared" si="2"/>
        <v>1</v>
      </c>
      <c r="M16" s="41">
        <f t="shared" si="3"/>
        <v>0.5</v>
      </c>
      <c r="N16" s="87">
        <f t="shared" si="4"/>
        <v>1</v>
      </c>
      <c r="O16" s="37"/>
      <c r="P16" s="128">
        <f>SUMIFS($G$15:$G$65,$B$15:$B$65,$P$14)</f>
        <v>73.5</v>
      </c>
      <c r="Q16" s="104"/>
      <c r="R16" s="99"/>
      <c r="S16" s="99"/>
      <c r="T16" s="99"/>
      <c r="U16" s="119"/>
      <c r="W16" s="52"/>
      <c r="X16" s="52"/>
      <c r="Y16" s="52"/>
      <c r="Z16" s="86">
        <v>46238</v>
      </c>
    </row>
    <row r="17" spans="2:26" ht="18" customHeight="1">
      <c r="B17" s="64">
        <v>46238</v>
      </c>
      <c r="C17" s="19" t="s">
        <v>30</v>
      </c>
      <c r="D17" s="19">
        <v>6.5</v>
      </c>
      <c r="E17" s="19">
        <v>0</v>
      </c>
      <c r="F17" s="19">
        <v>0.5</v>
      </c>
      <c r="G17" s="19">
        <v>50</v>
      </c>
      <c r="H17" s="19">
        <v>0</v>
      </c>
      <c r="I17" s="19">
        <v>15</v>
      </c>
      <c r="J17" s="20">
        <f t="shared" si="0"/>
        <v>0.92307692307692313</v>
      </c>
      <c r="K17" s="20">
        <f t="shared" si="1"/>
        <v>0.55555555555555558</v>
      </c>
      <c r="L17" s="20">
        <f t="shared" si="2"/>
        <v>1</v>
      </c>
      <c r="M17" s="20">
        <f t="shared" si="3"/>
        <v>0.51282051282051289</v>
      </c>
      <c r="N17" s="65">
        <f t="shared" si="4"/>
        <v>6</v>
      </c>
      <c r="O17" s="37"/>
      <c r="P17" s="118" t="s">
        <v>43</v>
      </c>
      <c r="Q17" s="104"/>
      <c r="R17" s="99"/>
      <c r="S17" s="99"/>
      <c r="T17" s="99"/>
      <c r="U17" s="119"/>
      <c r="W17" s="52"/>
      <c r="X17" s="52"/>
      <c r="Y17" s="52"/>
      <c r="Z17" s="86">
        <v>46239</v>
      </c>
    </row>
    <row r="18" spans="2:26" ht="18" customHeight="1">
      <c r="B18" s="90">
        <v>46239</v>
      </c>
      <c r="C18" s="91" t="s">
        <v>30</v>
      </c>
      <c r="D18" s="91">
        <v>3.9</v>
      </c>
      <c r="E18" s="91">
        <v>0</v>
      </c>
      <c r="F18" s="91">
        <v>0</v>
      </c>
      <c r="G18" s="26">
        <v>30</v>
      </c>
      <c r="H18" s="26">
        <v>0</v>
      </c>
      <c r="I18" s="26">
        <v>15</v>
      </c>
      <c r="J18" s="41">
        <f t="shared" si="0"/>
        <v>1</v>
      </c>
      <c r="K18" s="41">
        <f t="shared" si="1"/>
        <v>0.51282051282051277</v>
      </c>
      <c r="L18" s="41">
        <f t="shared" si="2"/>
        <v>1</v>
      </c>
      <c r="M18" s="41">
        <f t="shared" si="3"/>
        <v>0.51282051282051277</v>
      </c>
      <c r="N18" s="87">
        <f t="shared" si="4"/>
        <v>3.9</v>
      </c>
      <c r="O18" s="37"/>
      <c r="P18" s="132">
        <f>IFERROR(AVERAGEIFS($M$15:$M$65,$B$15:$B$65,$P$14),0)</f>
        <v>0.56142857142857139</v>
      </c>
      <c r="Q18" s="104"/>
      <c r="R18" s="99"/>
      <c r="S18" s="99"/>
      <c r="T18" s="99"/>
      <c r="U18" s="119"/>
      <c r="W18" s="52"/>
      <c r="X18" s="52"/>
      <c r="Y18" s="52"/>
      <c r="Z18" s="86">
        <v>46240</v>
      </c>
    </row>
    <row r="19" spans="2:26" ht="18" customHeight="1">
      <c r="B19" s="64">
        <v>46239</v>
      </c>
      <c r="C19" s="19" t="s">
        <v>13</v>
      </c>
      <c r="D19" s="19">
        <v>7.2</v>
      </c>
      <c r="E19" s="19">
        <v>0</v>
      </c>
      <c r="F19" s="19">
        <v>1</v>
      </c>
      <c r="G19" s="19">
        <v>60</v>
      </c>
      <c r="H19" s="19">
        <v>0</v>
      </c>
      <c r="I19" s="19">
        <v>15</v>
      </c>
      <c r="J19" s="20">
        <f t="shared" si="0"/>
        <v>0.86111111111111116</v>
      </c>
      <c r="K19" s="20">
        <f t="shared" si="1"/>
        <v>0.64516129032258063</v>
      </c>
      <c r="L19" s="20">
        <f t="shared" si="2"/>
        <v>1</v>
      </c>
      <c r="M19" s="20">
        <f t="shared" si="3"/>
        <v>0.55555555555555558</v>
      </c>
      <c r="N19" s="65">
        <f t="shared" si="4"/>
        <v>6.2</v>
      </c>
      <c r="O19" s="37"/>
      <c r="P19" s="118" t="s">
        <v>44</v>
      </c>
      <c r="Q19" s="104"/>
      <c r="R19" s="99"/>
      <c r="S19" s="99"/>
      <c r="T19" s="99"/>
      <c r="U19" s="119"/>
      <c r="W19" s="52"/>
      <c r="X19" s="52"/>
      <c r="Y19" s="52"/>
      <c r="Z19" s="86">
        <v>46241</v>
      </c>
    </row>
    <row r="20" spans="2:26" ht="18" customHeight="1">
      <c r="B20" s="90">
        <v>46239</v>
      </c>
      <c r="C20" s="91" t="s">
        <v>12</v>
      </c>
      <c r="D20" s="91">
        <v>5.4</v>
      </c>
      <c r="E20" s="91">
        <v>0</v>
      </c>
      <c r="F20" s="91">
        <v>0.5</v>
      </c>
      <c r="G20" s="26">
        <v>50</v>
      </c>
      <c r="H20" s="26">
        <v>0</v>
      </c>
      <c r="I20" s="26">
        <v>15</v>
      </c>
      <c r="J20" s="41">
        <f t="shared" si="0"/>
        <v>0.90740740740740744</v>
      </c>
      <c r="K20" s="41">
        <f t="shared" si="1"/>
        <v>0.68027210884353739</v>
      </c>
      <c r="L20" s="41">
        <f t="shared" si="2"/>
        <v>1</v>
      </c>
      <c r="M20" s="41">
        <f t="shared" si="3"/>
        <v>0.61728395061728392</v>
      </c>
      <c r="N20" s="87">
        <f t="shared" si="4"/>
        <v>4.9000000000000004</v>
      </c>
      <c r="O20" s="37"/>
      <c r="P20" s="146">
        <f>SUMIFS($N$15:$N$65,$B$15:$B$65,$P$14)</f>
        <v>10.75</v>
      </c>
      <c r="Q20" s="104"/>
      <c r="R20" s="99"/>
      <c r="S20" s="99"/>
      <c r="T20" s="99"/>
      <c r="U20" s="119"/>
      <c r="W20" s="52"/>
      <c r="X20" s="52"/>
      <c r="Y20" s="52"/>
      <c r="Z20" s="86">
        <v>46242</v>
      </c>
    </row>
    <row r="21" spans="2:26" ht="18" customHeight="1">
      <c r="B21" s="64">
        <v>46240</v>
      </c>
      <c r="C21" s="19" t="s">
        <v>12</v>
      </c>
      <c r="D21" s="19">
        <v>11.3</v>
      </c>
      <c r="E21" s="88">
        <v>0</v>
      </c>
      <c r="F21" s="89">
        <v>0.5</v>
      </c>
      <c r="G21" s="19">
        <v>100</v>
      </c>
      <c r="H21" s="19">
        <v>0</v>
      </c>
      <c r="I21" s="19">
        <v>15</v>
      </c>
      <c r="J21" s="20">
        <f t="shared" si="0"/>
        <v>0.95575221238938057</v>
      </c>
      <c r="K21" s="20">
        <f t="shared" si="1"/>
        <v>0.61728395061728392</v>
      </c>
      <c r="L21" s="20">
        <f t="shared" si="2"/>
        <v>1</v>
      </c>
      <c r="M21" s="20">
        <f t="shared" si="3"/>
        <v>0.58997050147492625</v>
      </c>
      <c r="N21" s="65">
        <f t="shared" si="4"/>
        <v>10.8</v>
      </c>
      <c r="O21" s="37"/>
      <c r="P21" s="118" t="s">
        <v>45</v>
      </c>
      <c r="Q21" s="104"/>
      <c r="R21" s="99"/>
      <c r="S21" s="99"/>
      <c r="T21" s="99"/>
      <c r="U21" s="119"/>
      <c r="Z21" s="86">
        <v>46243</v>
      </c>
    </row>
    <row r="22" spans="2:26" ht="18" customHeight="1">
      <c r="B22" s="66">
        <v>46240</v>
      </c>
      <c r="C22" s="40" t="s">
        <v>13</v>
      </c>
      <c r="D22" s="26">
        <v>6.5</v>
      </c>
      <c r="E22" s="26">
        <v>0</v>
      </c>
      <c r="F22" s="26">
        <v>1.5</v>
      </c>
      <c r="G22" s="26">
        <v>50</v>
      </c>
      <c r="H22" s="26">
        <v>0</v>
      </c>
      <c r="I22" s="26">
        <v>15</v>
      </c>
      <c r="J22" s="41">
        <f t="shared" si="0"/>
        <v>0.76923076923076927</v>
      </c>
      <c r="K22" s="41">
        <f t="shared" si="1"/>
        <v>0.66666666666666663</v>
      </c>
      <c r="L22" s="41">
        <f t="shared" si="2"/>
        <v>1</v>
      </c>
      <c r="M22" s="41">
        <f t="shared" si="3"/>
        <v>0.51282051282051277</v>
      </c>
      <c r="N22" s="87">
        <f t="shared" si="4"/>
        <v>5</v>
      </c>
      <c r="O22" s="37"/>
      <c r="P22" s="149">
        <f>IFERROR(AVERAGEIFS($K$15:$K$65,$B$15:$B$65,$P$14),0)</f>
        <v>0.64228418640183349</v>
      </c>
      <c r="Q22" s="104"/>
      <c r="R22" s="99"/>
      <c r="S22" s="99"/>
      <c r="T22" s="99"/>
      <c r="U22" s="119"/>
      <c r="Z22" s="86">
        <v>46244</v>
      </c>
    </row>
    <row r="23" spans="2:26" ht="18" customHeight="1">
      <c r="B23" s="64">
        <v>46241</v>
      </c>
      <c r="C23" s="19" t="s">
        <v>13</v>
      </c>
      <c r="D23" s="19">
        <v>5.2</v>
      </c>
      <c r="E23" s="19">
        <v>0</v>
      </c>
      <c r="F23" s="19">
        <v>0</v>
      </c>
      <c r="G23" s="19">
        <v>50</v>
      </c>
      <c r="H23" s="19">
        <v>0</v>
      </c>
      <c r="I23" s="19">
        <v>15</v>
      </c>
      <c r="J23" s="20">
        <f t="shared" si="0"/>
        <v>1</v>
      </c>
      <c r="K23" s="20">
        <f t="shared" si="1"/>
        <v>0.64102564102564108</v>
      </c>
      <c r="L23" s="20">
        <f t="shared" si="2"/>
        <v>1</v>
      </c>
      <c r="M23" s="20">
        <f t="shared" si="3"/>
        <v>0.64102564102564108</v>
      </c>
      <c r="N23" s="65">
        <f t="shared" si="4"/>
        <v>5.2</v>
      </c>
      <c r="O23" s="37"/>
      <c r="P23" s="118" t="s">
        <v>49</v>
      </c>
      <c r="Q23" s="104"/>
      <c r="R23" s="99"/>
      <c r="S23" s="99"/>
      <c r="T23" s="99"/>
      <c r="U23" s="119"/>
      <c r="Z23" s="86">
        <v>46245</v>
      </c>
    </row>
    <row r="24" spans="2:26" ht="18" customHeight="1">
      <c r="B24" s="90">
        <v>46241</v>
      </c>
      <c r="C24" s="91" t="s">
        <v>2</v>
      </c>
      <c r="D24" s="26">
        <v>2</v>
      </c>
      <c r="E24" s="26">
        <v>0</v>
      </c>
      <c r="F24" s="26">
        <v>0</v>
      </c>
      <c r="G24" s="26">
        <v>10</v>
      </c>
      <c r="H24" s="26">
        <v>0</v>
      </c>
      <c r="I24" s="26">
        <v>10</v>
      </c>
      <c r="J24" s="41">
        <f t="shared" si="0"/>
        <v>1</v>
      </c>
      <c r="K24" s="41">
        <f t="shared" si="1"/>
        <v>0.5</v>
      </c>
      <c r="L24" s="41">
        <f t="shared" si="2"/>
        <v>1</v>
      </c>
      <c r="M24" s="41">
        <f t="shared" si="3"/>
        <v>0.5</v>
      </c>
      <c r="N24" s="87">
        <f t="shared" si="4"/>
        <v>2</v>
      </c>
      <c r="O24" s="37"/>
      <c r="P24" s="79"/>
      <c r="Q24" s="84"/>
      <c r="R24" s="84"/>
      <c r="S24" s="84"/>
      <c r="T24" s="84"/>
      <c r="U24" s="85"/>
      <c r="Z24" s="86">
        <v>46246</v>
      </c>
    </row>
    <row r="25" spans="2:26" ht="18" customHeight="1">
      <c r="B25" s="64">
        <v>46241</v>
      </c>
      <c r="C25" s="19" t="s">
        <v>30</v>
      </c>
      <c r="D25" s="19">
        <v>6.1</v>
      </c>
      <c r="E25" s="19">
        <v>0</v>
      </c>
      <c r="F25" s="19">
        <v>0</v>
      </c>
      <c r="G25" s="19">
        <v>65</v>
      </c>
      <c r="H25" s="19">
        <v>0</v>
      </c>
      <c r="I25" s="19">
        <v>15</v>
      </c>
      <c r="J25" s="20">
        <f t="shared" si="0"/>
        <v>1</v>
      </c>
      <c r="K25" s="20">
        <f t="shared" si="1"/>
        <v>0.7103825136612022</v>
      </c>
      <c r="L25" s="20">
        <f t="shared" si="2"/>
        <v>1</v>
      </c>
      <c r="M25" s="20">
        <f t="shared" si="3"/>
        <v>0.7103825136612022</v>
      </c>
      <c r="N25" s="65">
        <f t="shared" si="4"/>
        <v>6.1</v>
      </c>
      <c r="O25" s="37"/>
      <c r="P25" s="120" t="s">
        <v>46</v>
      </c>
      <c r="Q25" s="121"/>
      <c r="R25" s="120" t="s">
        <v>47</v>
      </c>
      <c r="S25" s="145"/>
      <c r="T25" s="145"/>
      <c r="U25" s="121"/>
      <c r="W25" s="53" t="s">
        <v>48</v>
      </c>
      <c r="Z25" s="86">
        <v>46247</v>
      </c>
    </row>
    <row r="26" spans="2:26" s="34" customFormat="1" ht="18" customHeight="1">
      <c r="B26" s="66">
        <v>46242</v>
      </c>
      <c r="C26" s="26" t="s">
        <v>30</v>
      </c>
      <c r="D26" s="26">
        <v>2.2000000000000002</v>
      </c>
      <c r="E26" s="26">
        <v>0</v>
      </c>
      <c r="F26" s="26">
        <v>0.5</v>
      </c>
      <c r="G26" s="26">
        <v>15</v>
      </c>
      <c r="H26" s="26">
        <v>0</v>
      </c>
      <c r="I26" s="26">
        <v>15</v>
      </c>
      <c r="J26" s="41">
        <f t="shared" si="0"/>
        <v>0.77272727272727271</v>
      </c>
      <c r="K26" s="41">
        <f t="shared" si="1"/>
        <v>0.58823529411764697</v>
      </c>
      <c r="L26" s="41">
        <f t="shared" si="2"/>
        <v>1</v>
      </c>
      <c r="M26" s="41">
        <f t="shared" si="3"/>
        <v>0.45454545454545447</v>
      </c>
      <c r="N26" s="87">
        <f t="shared" si="4"/>
        <v>1.7000000000000002</v>
      </c>
      <c r="O26" s="37"/>
      <c r="P26" s="116" t="str">
        <f>IFERROR(INDEX($W$26:$W$30,MATCH(1,$Y$26:$Y$30,0)),"")</f>
        <v>CM1</v>
      </c>
      <c r="Q26" s="117"/>
      <c r="R26" s="147">
        <f>IFERROR(INDEX($X$26:$X$30,MATCH(1,$Y$26:$Y$30,0)),"")</f>
        <v>60</v>
      </c>
      <c r="S26" s="117"/>
      <c r="T26" s="117"/>
      <c r="U26" s="123"/>
      <c r="W26" s="54" t="str">
        <f>Q6</f>
        <v>CM1</v>
      </c>
      <c r="X26" s="54">
        <f>SUMIFS($G$15:$G$65,$C$15:$C$65,Q6,$B$15:$B$65,$P$14)</f>
        <v>60</v>
      </c>
      <c r="Y26" s="54">
        <f>IF(X26&gt;0, COUNTIF($X$26:X26,"&gt;0"), "")</f>
        <v>1</v>
      </c>
      <c r="Z26" s="86">
        <v>46248</v>
      </c>
    </row>
    <row r="27" spans="2:26" ht="18" customHeight="1">
      <c r="B27" s="64">
        <v>46242</v>
      </c>
      <c r="C27" s="19" t="s">
        <v>14</v>
      </c>
      <c r="D27" s="19">
        <v>10.5</v>
      </c>
      <c r="E27" s="19">
        <v>0</v>
      </c>
      <c r="F27" s="19">
        <v>0.5</v>
      </c>
      <c r="G27" s="19">
        <v>80</v>
      </c>
      <c r="H27" s="19">
        <v>0</v>
      </c>
      <c r="I27" s="19">
        <v>15</v>
      </c>
      <c r="J27" s="20">
        <f t="shared" si="0"/>
        <v>0.95238095238095233</v>
      </c>
      <c r="K27" s="20">
        <f t="shared" si="1"/>
        <v>0.53333333333333333</v>
      </c>
      <c r="L27" s="20">
        <f t="shared" si="2"/>
        <v>1</v>
      </c>
      <c r="M27" s="20">
        <f t="shared" si="3"/>
        <v>0.50793650793650791</v>
      </c>
      <c r="N27" s="65">
        <f t="shared" si="4"/>
        <v>10</v>
      </c>
      <c r="O27" s="37"/>
      <c r="P27" s="116" t="str">
        <f>IFERROR(INDEX($W$26:$W$30,MATCH(2,$Y$26:$Y$30,0)),"")</f>
        <v>CG3</v>
      </c>
      <c r="Q27" s="117"/>
      <c r="R27" s="147">
        <f>IFERROR(INDEX($X$26:$X$30,MATCH(2,$Y$26:$Y$30,0)),"")</f>
        <v>13.5</v>
      </c>
      <c r="S27" s="117"/>
      <c r="T27" s="117"/>
      <c r="U27" s="123"/>
      <c r="W27" s="54" t="str">
        <f>Q7</f>
        <v>CG25</v>
      </c>
      <c r="X27" s="54">
        <f>SUMIFS($G$15:$G$65,$C$15:$C$65,Q7,$B$15:$B$65,$P$14)</f>
        <v>0</v>
      </c>
      <c r="Y27" s="54" t="str">
        <f>IF(X27&gt;0, COUNTIF($X$26:X27,"&gt;0"), "")</f>
        <v/>
      </c>
      <c r="Z27" s="86">
        <v>46249</v>
      </c>
    </row>
    <row r="28" spans="2:26" ht="18" customHeight="1">
      <c r="B28" s="90">
        <v>46243</v>
      </c>
      <c r="C28" s="91" t="s">
        <v>2</v>
      </c>
      <c r="D28" s="26">
        <v>12.67</v>
      </c>
      <c r="E28" s="26">
        <v>0</v>
      </c>
      <c r="F28" s="26">
        <v>2.5</v>
      </c>
      <c r="G28" s="26">
        <v>70</v>
      </c>
      <c r="H28" s="26">
        <v>0</v>
      </c>
      <c r="I28" s="91">
        <v>10</v>
      </c>
      <c r="J28" s="41">
        <f t="shared" si="0"/>
        <v>0.80268350434096292</v>
      </c>
      <c r="K28" s="41">
        <f t="shared" si="1"/>
        <v>0.68829891838741397</v>
      </c>
      <c r="L28" s="41">
        <f t="shared" si="2"/>
        <v>1</v>
      </c>
      <c r="M28" s="41">
        <f t="shared" si="3"/>
        <v>0.5524861878453039</v>
      </c>
      <c r="N28" s="87">
        <f t="shared" si="4"/>
        <v>10.17</v>
      </c>
      <c r="O28" s="37"/>
      <c r="P28" s="116" t="str">
        <f>IFERROR(INDEX($W$26:$W$30,MATCH(3,$Y$26:$Y$30,0)),"")</f>
        <v/>
      </c>
      <c r="Q28" s="117"/>
      <c r="R28" s="122" t="str">
        <f>IFERROR(INDEX($X$26:$X$30,MATCH(3,$Y$26:$Y$30,0)),"")</f>
        <v/>
      </c>
      <c r="S28" s="117"/>
      <c r="T28" s="117"/>
      <c r="U28" s="123"/>
      <c r="W28" s="54" t="str">
        <f>Q8</f>
        <v>CG3</v>
      </c>
      <c r="X28" s="54">
        <f>SUMIFS($G$15:$G$65,$C$15:$C$65,Q8,$B$15:$B$65,$P$14)</f>
        <v>13.5</v>
      </c>
      <c r="Y28" s="54">
        <f>IF(X28&gt;0, COUNTIF($X$26:X28,"&gt;0"), "")</f>
        <v>2</v>
      </c>
      <c r="Z28" s="86">
        <v>46251</v>
      </c>
    </row>
    <row r="29" spans="2:26" ht="18" customHeight="1">
      <c r="B29" s="64">
        <v>46244</v>
      </c>
      <c r="C29" s="19" t="s">
        <v>2</v>
      </c>
      <c r="D29" s="19">
        <v>6.2</v>
      </c>
      <c r="E29" s="19">
        <v>0</v>
      </c>
      <c r="F29" s="19">
        <v>0.5</v>
      </c>
      <c r="G29" s="19">
        <v>35</v>
      </c>
      <c r="H29" s="19">
        <v>0</v>
      </c>
      <c r="I29" s="19">
        <v>10</v>
      </c>
      <c r="J29" s="20">
        <f t="shared" si="0"/>
        <v>0.91935483870967738</v>
      </c>
      <c r="K29" s="20">
        <f t="shared" si="1"/>
        <v>0.61403508771929827</v>
      </c>
      <c r="L29" s="20">
        <f t="shared" si="2"/>
        <v>1</v>
      </c>
      <c r="M29" s="20">
        <f t="shared" si="3"/>
        <v>0.56451612903225801</v>
      </c>
      <c r="N29" s="65">
        <f t="shared" si="4"/>
        <v>5.7</v>
      </c>
      <c r="O29" s="37"/>
      <c r="P29" s="116" t="str">
        <f>IFERROR(INDEX($W$26:$W$30,MATCH(4,$Y$26:$Y$30,0)),"")</f>
        <v/>
      </c>
      <c r="Q29" s="117"/>
      <c r="R29" s="122" t="str">
        <f>IFERROR(INDEX($X$26:$X$30,MATCH(4,$Y$26:$Y$30,0)),"")</f>
        <v/>
      </c>
      <c r="S29" s="117"/>
      <c r="T29" s="117"/>
      <c r="U29" s="123"/>
      <c r="W29" s="54" t="str">
        <f>Q9</f>
        <v>DG4</v>
      </c>
      <c r="X29" s="54">
        <f>SUMIFS($G$15:$G$65,$C$15:$C$65,Q9,$B$15:$B$65,$P$14)</f>
        <v>0</v>
      </c>
      <c r="Y29" s="54" t="str">
        <f>IF(X29&gt;0, COUNTIF($X$26:X29,"&gt;0"), "")</f>
        <v/>
      </c>
      <c r="Z29" s="86">
        <v>46252</v>
      </c>
    </row>
    <row r="30" spans="2:26" s="34" customFormat="1" ht="18" customHeight="1">
      <c r="B30" s="66">
        <v>46244</v>
      </c>
      <c r="C30" s="26" t="s">
        <v>30</v>
      </c>
      <c r="D30" s="26">
        <v>7.1</v>
      </c>
      <c r="E30" s="26">
        <v>0</v>
      </c>
      <c r="F30" s="26">
        <v>0</v>
      </c>
      <c r="G30" s="26">
        <v>85</v>
      </c>
      <c r="H30" s="26">
        <v>0</v>
      </c>
      <c r="I30" s="26">
        <v>15</v>
      </c>
      <c r="J30" s="41">
        <f t="shared" si="0"/>
        <v>1</v>
      </c>
      <c r="K30" s="41">
        <f t="shared" si="1"/>
        <v>0.7981220657276995</v>
      </c>
      <c r="L30" s="41">
        <f t="shared" si="2"/>
        <v>1</v>
      </c>
      <c r="M30" s="41">
        <f t="shared" si="3"/>
        <v>0.7981220657276995</v>
      </c>
      <c r="N30" s="87">
        <f t="shared" si="4"/>
        <v>7.1</v>
      </c>
      <c r="O30" s="37"/>
      <c r="P30" s="148" t="str">
        <f>IFERROR(INDEX($W$26:$W$30,MATCH(5,$Y$26:$Y$30,0)),"")</f>
        <v/>
      </c>
      <c r="Q30" s="143"/>
      <c r="R30" s="142" t="str">
        <f>IFERROR(INDEX($X$26:$X$30,MATCH(5,$Y$26:$Y$30,0)),"")</f>
        <v/>
      </c>
      <c r="S30" s="143"/>
      <c r="T30" s="143"/>
      <c r="U30" s="144"/>
      <c r="W30" s="54" t="str">
        <f>Q10</f>
        <v>DG3</v>
      </c>
      <c r="X30" s="54">
        <f>SUMIFS($G$15:$G$65,$C$15:$C$65,Q10,$B$15:$B$65,$P$14)</f>
        <v>0</v>
      </c>
      <c r="Y30" s="54" t="str">
        <f>IF(X30&gt;0, COUNTIF($X$26:X30,"&gt;0"), "")</f>
        <v/>
      </c>
      <c r="Z30" s="86">
        <v>46253</v>
      </c>
    </row>
    <row r="31" spans="2:26" ht="20.100000000000001" customHeight="1">
      <c r="B31" s="64">
        <v>46245</v>
      </c>
      <c r="C31" s="19" t="s">
        <v>30</v>
      </c>
      <c r="D31" s="19">
        <v>5.8</v>
      </c>
      <c r="E31" s="19">
        <v>0</v>
      </c>
      <c r="F31" s="19">
        <v>0</v>
      </c>
      <c r="G31" s="19">
        <v>65</v>
      </c>
      <c r="H31" s="19">
        <v>0</v>
      </c>
      <c r="I31" s="19">
        <v>15</v>
      </c>
      <c r="J31" s="20">
        <f t="shared" si="0"/>
        <v>1</v>
      </c>
      <c r="K31" s="20">
        <f t="shared" si="1"/>
        <v>0.74712643678160917</v>
      </c>
      <c r="L31" s="20">
        <f t="shared" si="2"/>
        <v>1</v>
      </c>
      <c r="M31" s="20">
        <f t="shared" si="3"/>
        <v>0.74712643678160917</v>
      </c>
      <c r="N31" s="65">
        <f t="shared" si="4"/>
        <v>5.8</v>
      </c>
      <c r="O31" s="37"/>
      <c r="P31" s="45"/>
      <c r="Z31" s="86">
        <v>46254</v>
      </c>
    </row>
    <row r="32" spans="2:26" ht="20.100000000000001" customHeight="1">
      <c r="B32" s="66">
        <v>46245</v>
      </c>
      <c r="C32" s="26" t="s">
        <v>13</v>
      </c>
      <c r="D32" s="26">
        <v>10.7</v>
      </c>
      <c r="E32" s="26">
        <v>0</v>
      </c>
      <c r="F32" s="26">
        <v>6</v>
      </c>
      <c r="G32" s="26">
        <v>40</v>
      </c>
      <c r="H32" s="26">
        <v>0</v>
      </c>
      <c r="I32" s="26">
        <v>15</v>
      </c>
      <c r="J32" s="41">
        <f t="shared" si="0"/>
        <v>0.43925233644859807</v>
      </c>
      <c r="K32" s="41">
        <f t="shared" si="1"/>
        <v>0.56737588652482285</v>
      </c>
      <c r="L32" s="41">
        <f t="shared" si="2"/>
        <v>1</v>
      </c>
      <c r="M32" s="41">
        <f t="shared" si="3"/>
        <v>0.24922118380062308</v>
      </c>
      <c r="N32" s="87">
        <f t="shared" si="4"/>
        <v>4.6999999999999993</v>
      </c>
      <c r="O32" s="37"/>
      <c r="P32" s="45"/>
      <c r="Z32" s="86">
        <v>46255</v>
      </c>
    </row>
    <row r="33" spans="2:26" s="34" customFormat="1" ht="20.100000000000001" customHeight="1">
      <c r="B33" s="64">
        <v>46246</v>
      </c>
      <c r="C33" s="19" t="s">
        <v>13</v>
      </c>
      <c r="D33" s="19">
        <v>19.5</v>
      </c>
      <c r="E33" s="19">
        <v>0</v>
      </c>
      <c r="F33" s="19">
        <v>3</v>
      </c>
      <c r="G33" s="19">
        <v>140</v>
      </c>
      <c r="H33" s="19">
        <v>0</v>
      </c>
      <c r="I33" s="19">
        <v>15</v>
      </c>
      <c r="J33" s="20">
        <f t="shared" si="0"/>
        <v>0.84615384615384615</v>
      </c>
      <c r="K33" s="20">
        <f t="shared" si="1"/>
        <v>0.56565656565656564</v>
      </c>
      <c r="L33" s="20">
        <f t="shared" si="2"/>
        <v>1</v>
      </c>
      <c r="M33" s="20">
        <f t="shared" si="3"/>
        <v>0.4786324786324786</v>
      </c>
      <c r="N33" s="65">
        <f t="shared" si="4"/>
        <v>16.5</v>
      </c>
      <c r="O33" s="37"/>
      <c r="P33" s="45"/>
      <c r="Q33" s="43"/>
      <c r="Z33" s="86">
        <v>46256</v>
      </c>
    </row>
    <row r="34" spans="2:26" ht="20.100000000000001" customHeight="1">
      <c r="B34" s="66">
        <v>46247</v>
      </c>
      <c r="C34" s="26" t="s">
        <v>12</v>
      </c>
      <c r="D34" s="26">
        <v>14.8</v>
      </c>
      <c r="E34" s="26">
        <v>0</v>
      </c>
      <c r="F34" s="26">
        <v>1.5</v>
      </c>
      <c r="G34" s="26">
        <v>125</v>
      </c>
      <c r="H34" s="26">
        <v>0</v>
      </c>
      <c r="I34" s="26">
        <v>15</v>
      </c>
      <c r="J34" s="41">
        <f t="shared" si="0"/>
        <v>0.89864864864864868</v>
      </c>
      <c r="K34" s="41">
        <f t="shared" si="1"/>
        <v>0.62656641604010022</v>
      </c>
      <c r="L34" s="41">
        <f t="shared" si="2"/>
        <v>1</v>
      </c>
      <c r="M34" s="41">
        <f t="shared" si="3"/>
        <v>0.56306306306306309</v>
      </c>
      <c r="N34" s="87">
        <f t="shared" si="4"/>
        <v>13.3</v>
      </c>
      <c r="O34" s="37"/>
      <c r="P34" s="45"/>
      <c r="Z34" s="86">
        <v>46258</v>
      </c>
    </row>
    <row r="35" spans="2:26" ht="20.100000000000001" customHeight="1">
      <c r="B35" s="93">
        <v>46248</v>
      </c>
      <c r="C35" s="89" t="s">
        <v>30</v>
      </c>
      <c r="D35" s="19">
        <v>6.9</v>
      </c>
      <c r="E35" s="19">
        <v>0</v>
      </c>
      <c r="F35" s="19">
        <v>1</v>
      </c>
      <c r="G35" s="19">
        <v>50</v>
      </c>
      <c r="H35" s="19">
        <v>0</v>
      </c>
      <c r="I35" s="89">
        <v>15</v>
      </c>
      <c r="J35" s="94">
        <f t="shared" si="0"/>
        <v>0.85507246376811596</v>
      </c>
      <c r="K35" s="20">
        <f t="shared" si="1"/>
        <v>0.56497175141242939</v>
      </c>
      <c r="L35" s="20">
        <f t="shared" si="2"/>
        <v>1</v>
      </c>
      <c r="M35" s="20">
        <f t="shared" si="3"/>
        <v>0.48309178743961356</v>
      </c>
      <c r="N35" s="65">
        <f t="shared" si="4"/>
        <v>5.9</v>
      </c>
      <c r="O35" s="37"/>
      <c r="P35" s="45"/>
      <c r="Z35" s="86">
        <v>46259</v>
      </c>
    </row>
    <row r="36" spans="2:26" ht="20.100000000000001" customHeight="1">
      <c r="B36" s="66">
        <v>46248</v>
      </c>
      <c r="C36" s="26" t="s">
        <v>14</v>
      </c>
      <c r="D36" s="91">
        <v>5</v>
      </c>
      <c r="E36" s="26">
        <v>0</v>
      </c>
      <c r="F36" s="26">
        <v>0</v>
      </c>
      <c r="G36" s="26">
        <v>40</v>
      </c>
      <c r="H36" s="26">
        <v>0</v>
      </c>
      <c r="I36" s="26">
        <v>15</v>
      </c>
      <c r="J36" s="92">
        <f t="shared" si="0"/>
        <v>1</v>
      </c>
      <c r="K36" s="41">
        <f t="shared" si="1"/>
        <v>0.53333333333333333</v>
      </c>
      <c r="L36" s="41">
        <f t="shared" si="2"/>
        <v>1</v>
      </c>
      <c r="M36" s="41">
        <f t="shared" si="3"/>
        <v>0.53333333333333333</v>
      </c>
      <c r="N36" s="87">
        <f t="shared" si="4"/>
        <v>5</v>
      </c>
      <c r="O36" s="37"/>
      <c r="P36" s="45"/>
      <c r="Z36" s="86">
        <v>46260</v>
      </c>
    </row>
    <row r="37" spans="2:26" ht="20.100000000000001" customHeight="1">
      <c r="B37" s="64">
        <v>46249</v>
      </c>
      <c r="C37" s="19" t="s">
        <v>14</v>
      </c>
      <c r="D37" s="19">
        <v>2</v>
      </c>
      <c r="E37" s="19">
        <v>0</v>
      </c>
      <c r="F37" s="19">
        <v>0.5</v>
      </c>
      <c r="G37" s="19">
        <v>10</v>
      </c>
      <c r="H37" s="19">
        <v>0</v>
      </c>
      <c r="I37" s="19">
        <v>15</v>
      </c>
      <c r="J37" s="20">
        <f t="shared" si="0"/>
        <v>0.75</v>
      </c>
      <c r="K37" s="20">
        <f t="shared" si="1"/>
        <v>0.44444444444444442</v>
      </c>
      <c r="L37" s="20">
        <f t="shared" si="2"/>
        <v>1</v>
      </c>
      <c r="M37" s="20">
        <f t="shared" si="3"/>
        <v>0.33333333333333331</v>
      </c>
      <c r="N37" s="65">
        <f t="shared" si="4"/>
        <v>1.5</v>
      </c>
      <c r="O37" s="37"/>
      <c r="P37" s="45"/>
      <c r="Z37" s="86">
        <v>46261</v>
      </c>
    </row>
    <row r="38" spans="2:26" ht="20.100000000000001" customHeight="1">
      <c r="B38" s="66">
        <v>46251</v>
      </c>
      <c r="C38" s="26" t="s">
        <v>2</v>
      </c>
      <c r="D38" s="26">
        <v>16.5</v>
      </c>
      <c r="E38" s="26">
        <v>0</v>
      </c>
      <c r="F38" s="26">
        <v>3</v>
      </c>
      <c r="G38" s="26">
        <v>95</v>
      </c>
      <c r="H38" s="26">
        <v>0</v>
      </c>
      <c r="I38" s="26">
        <v>10</v>
      </c>
      <c r="J38" s="41">
        <f t="shared" si="0"/>
        <v>0.81818181818181823</v>
      </c>
      <c r="K38" s="41">
        <f t="shared" si="1"/>
        <v>0.70370370370370372</v>
      </c>
      <c r="L38" s="41">
        <f t="shared" si="2"/>
        <v>1</v>
      </c>
      <c r="M38" s="41">
        <f t="shared" si="3"/>
        <v>0.5757575757575758</v>
      </c>
      <c r="N38" s="87">
        <f t="shared" si="4"/>
        <v>13.5</v>
      </c>
      <c r="O38" s="44"/>
      <c r="P38" s="45"/>
    </row>
    <row r="39" spans="2:26" ht="20.100000000000001" customHeight="1">
      <c r="B39" s="93">
        <v>46252</v>
      </c>
      <c r="C39" s="89" t="s">
        <v>2</v>
      </c>
      <c r="D39" s="19">
        <v>1</v>
      </c>
      <c r="E39" s="19">
        <v>0</v>
      </c>
      <c r="F39" s="19">
        <v>0</v>
      </c>
      <c r="G39" s="19">
        <v>5</v>
      </c>
      <c r="H39" s="19">
        <v>0</v>
      </c>
      <c r="I39" s="89">
        <v>10</v>
      </c>
      <c r="J39" s="20">
        <f t="shared" si="0"/>
        <v>1</v>
      </c>
      <c r="K39" s="20">
        <f t="shared" si="1"/>
        <v>0.5</v>
      </c>
      <c r="L39" s="20">
        <f t="shared" si="2"/>
        <v>1</v>
      </c>
      <c r="M39" s="20">
        <f t="shared" si="3"/>
        <v>0.5</v>
      </c>
      <c r="N39" s="65">
        <f t="shared" si="4"/>
        <v>1</v>
      </c>
      <c r="O39" s="44"/>
      <c r="P39" s="45"/>
    </row>
    <row r="40" spans="2:26" ht="20.100000000000001" customHeight="1">
      <c r="B40" s="66">
        <v>46252</v>
      </c>
      <c r="C40" s="26" t="s">
        <v>13</v>
      </c>
      <c r="D40" s="26">
        <v>16</v>
      </c>
      <c r="E40" s="26">
        <v>0</v>
      </c>
      <c r="F40" s="26">
        <v>1.3</v>
      </c>
      <c r="G40" s="26">
        <v>130</v>
      </c>
      <c r="H40" s="26">
        <v>0</v>
      </c>
      <c r="I40" s="26">
        <v>15</v>
      </c>
      <c r="J40" s="41">
        <f t="shared" si="0"/>
        <v>0.91874999999999996</v>
      </c>
      <c r="K40" s="41">
        <f t="shared" si="1"/>
        <v>0.58956916099773238</v>
      </c>
      <c r="L40" s="41">
        <f t="shared" si="2"/>
        <v>1</v>
      </c>
      <c r="M40" s="41">
        <f t="shared" si="3"/>
        <v>0.54166666666666663</v>
      </c>
      <c r="N40" s="87">
        <f t="shared" si="4"/>
        <v>14.7</v>
      </c>
      <c r="O40" s="37"/>
      <c r="P40" s="45"/>
    </row>
    <row r="41" spans="2:26" ht="20.100000000000001" customHeight="1">
      <c r="B41" s="93">
        <v>46253</v>
      </c>
      <c r="C41" s="89" t="s">
        <v>12</v>
      </c>
      <c r="D41" s="19">
        <v>15.7</v>
      </c>
      <c r="E41" s="19">
        <v>0</v>
      </c>
      <c r="F41" s="19">
        <v>1.4</v>
      </c>
      <c r="G41" s="19">
        <v>137</v>
      </c>
      <c r="H41" s="19">
        <v>0</v>
      </c>
      <c r="I41" s="89">
        <v>15</v>
      </c>
      <c r="J41" s="94">
        <f t="shared" si="0"/>
        <v>0.91082802547770703</v>
      </c>
      <c r="K41" s="94">
        <f t="shared" si="1"/>
        <v>0.63869463869463883</v>
      </c>
      <c r="L41" s="20">
        <f t="shared" si="2"/>
        <v>1</v>
      </c>
      <c r="M41" s="94">
        <f t="shared" si="3"/>
        <v>0.58174097664543534</v>
      </c>
      <c r="N41" s="65">
        <f t="shared" si="4"/>
        <v>14.299999999999999</v>
      </c>
      <c r="O41" s="37"/>
      <c r="P41" s="45"/>
    </row>
    <row r="42" spans="2:26" ht="20.100000000000001" customHeight="1">
      <c r="B42" s="66">
        <v>46254</v>
      </c>
      <c r="C42" s="26" t="s">
        <v>2</v>
      </c>
      <c r="D42" s="26">
        <v>18</v>
      </c>
      <c r="E42" s="26">
        <v>0</v>
      </c>
      <c r="F42" s="26">
        <v>4</v>
      </c>
      <c r="G42" s="26">
        <v>95</v>
      </c>
      <c r="H42" s="26">
        <v>0</v>
      </c>
      <c r="I42" s="26">
        <v>15</v>
      </c>
      <c r="J42" s="92">
        <f t="shared" si="0"/>
        <v>0.77777777777777779</v>
      </c>
      <c r="K42" s="92">
        <f t="shared" si="1"/>
        <v>0.45238095238095238</v>
      </c>
      <c r="L42" s="41">
        <f t="shared" si="2"/>
        <v>1</v>
      </c>
      <c r="M42" s="92">
        <f t="shared" si="3"/>
        <v>0.35185185185185186</v>
      </c>
      <c r="N42" s="87">
        <f t="shared" si="4"/>
        <v>14</v>
      </c>
      <c r="O42" s="37"/>
      <c r="P42" s="45"/>
    </row>
    <row r="43" spans="2:26" ht="20.100000000000001" customHeight="1">
      <c r="B43" s="64">
        <v>46255</v>
      </c>
      <c r="C43" s="89" t="s">
        <v>30</v>
      </c>
      <c r="D43" s="19">
        <v>16</v>
      </c>
      <c r="E43" s="19">
        <v>0</v>
      </c>
      <c r="F43" s="19">
        <v>1.5</v>
      </c>
      <c r="G43" s="19">
        <v>130</v>
      </c>
      <c r="H43" s="19">
        <v>0</v>
      </c>
      <c r="I43" s="89">
        <v>15</v>
      </c>
      <c r="J43" s="94">
        <f t="shared" si="0"/>
        <v>0.90625</v>
      </c>
      <c r="K43" s="94">
        <f t="shared" si="1"/>
        <v>0.5977011494252874</v>
      </c>
      <c r="L43" s="20">
        <f t="shared" si="2"/>
        <v>1</v>
      </c>
      <c r="M43" s="94">
        <f t="shared" si="3"/>
        <v>0.54166666666666674</v>
      </c>
      <c r="N43" s="65">
        <f t="shared" si="4"/>
        <v>14.5</v>
      </c>
      <c r="O43" s="37"/>
      <c r="P43" s="45"/>
    </row>
    <row r="44" spans="2:26" ht="20.100000000000001" customHeight="1">
      <c r="B44" s="66">
        <v>46256</v>
      </c>
      <c r="C44" s="91" t="s">
        <v>30</v>
      </c>
      <c r="D44" s="26">
        <v>2</v>
      </c>
      <c r="E44" s="26">
        <v>0</v>
      </c>
      <c r="F44" s="26">
        <v>0.2</v>
      </c>
      <c r="G44" s="26">
        <v>10</v>
      </c>
      <c r="H44" s="26">
        <v>0</v>
      </c>
      <c r="I44" s="91">
        <v>15</v>
      </c>
      <c r="J44" s="92">
        <f t="shared" si="0"/>
        <v>0.9</v>
      </c>
      <c r="K44" s="92">
        <f t="shared" si="1"/>
        <v>0.37037037037037035</v>
      </c>
      <c r="L44" s="41">
        <f t="shared" si="2"/>
        <v>1</v>
      </c>
      <c r="M44" s="92">
        <f t="shared" si="3"/>
        <v>0.33333333333333331</v>
      </c>
      <c r="N44" s="87">
        <f t="shared" si="4"/>
        <v>1.8</v>
      </c>
      <c r="P44" s="45"/>
    </row>
    <row r="45" spans="2:26" ht="20.100000000000001" customHeight="1">
      <c r="B45" s="64">
        <v>46256</v>
      </c>
      <c r="C45" s="89" t="s">
        <v>14</v>
      </c>
      <c r="D45" s="19">
        <v>5.2</v>
      </c>
      <c r="E45" s="19">
        <v>0</v>
      </c>
      <c r="F45" s="19">
        <v>0.5</v>
      </c>
      <c r="G45" s="19">
        <v>40</v>
      </c>
      <c r="H45" s="19">
        <v>0</v>
      </c>
      <c r="I45" s="89">
        <v>15</v>
      </c>
      <c r="J45" s="94">
        <f t="shared" si="0"/>
        <v>0.90384615384615385</v>
      </c>
      <c r="K45" s="94">
        <f t="shared" si="1"/>
        <v>0.56737588652482274</v>
      </c>
      <c r="L45" s="20">
        <f t="shared" si="2"/>
        <v>1</v>
      </c>
      <c r="M45" s="94">
        <f t="shared" si="3"/>
        <v>0.51282051282051289</v>
      </c>
      <c r="N45" s="65">
        <f t="shared" si="4"/>
        <v>4.7</v>
      </c>
      <c r="P45" s="45"/>
    </row>
    <row r="46" spans="2:26" ht="20.100000000000001" customHeight="1">
      <c r="B46" s="66">
        <v>46258</v>
      </c>
      <c r="C46" s="91" t="s">
        <v>14</v>
      </c>
      <c r="D46" s="26">
        <v>2.1</v>
      </c>
      <c r="E46" s="26">
        <v>0</v>
      </c>
      <c r="F46" s="26">
        <v>0</v>
      </c>
      <c r="G46" s="26">
        <v>17.5</v>
      </c>
      <c r="H46" s="26">
        <v>0</v>
      </c>
      <c r="I46" s="91">
        <v>15</v>
      </c>
      <c r="J46" s="92">
        <f t="shared" si="0"/>
        <v>1</v>
      </c>
      <c r="K46" s="92">
        <f t="shared" si="1"/>
        <v>0.55555555555555558</v>
      </c>
      <c r="L46" s="41">
        <f t="shared" si="2"/>
        <v>1</v>
      </c>
      <c r="M46" s="92">
        <f t="shared" si="3"/>
        <v>0.55555555555555558</v>
      </c>
      <c r="N46" s="87">
        <f t="shared" si="4"/>
        <v>2.1</v>
      </c>
      <c r="P46" s="45"/>
    </row>
    <row r="47" spans="2:26" ht="20.100000000000001" customHeight="1">
      <c r="B47" s="64">
        <v>46258</v>
      </c>
      <c r="C47" s="89" t="s">
        <v>13</v>
      </c>
      <c r="D47" s="19">
        <v>12.1</v>
      </c>
      <c r="E47" s="19">
        <v>0</v>
      </c>
      <c r="F47" s="19">
        <v>6</v>
      </c>
      <c r="G47" s="19">
        <v>50</v>
      </c>
      <c r="H47" s="19">
        <v>0</v>
      </c>
      <c r="I47" s="89">
        <v>15</v>
      </c>
      <c r="J47" s="94">
        <f t="shared" si="0"/>
        <v>0.50413223140495866</v>
      </c>
      <c r="K47" s="94">
        <f t="shared" ref="K47:K58" si="5">G47/(N47*I47)</f>
        <v>0.54644808743169404</v>
      </c>
      <c r="L47" s="20">
        <f t="shared" si="2"/>
        <v>1</v>
      </c>
      <c r="M47" s="94">
        <f t="shared" si="3"/>
        <v>0.27548209366391185</v>
      </c>
      <c r="N47" s="65">
        <f t="shared" ref="N47:N65" si="6">IF(D47&gt;0, D47-E47-F47, "")</f>
        <v>6.1</v>
      </c>
    </row>
    <row r="48" spans="2:26" ht="20.100000000000001" customHeight="1">
      <c r="B48" s="66">
        <v>46259</v>
      </c>
      <c r="C48" s="91" t="s">
        <v>13</v>
      </c>
      <c r="D48" s="26">
        <v>16</v>
      </c>
      <c r="E48" s="26">
        <v>0.5</v>
      </c>
      <c r="F48" s="26">
        <v>5.5</v>
      </c>
      <c r="G48" s="26">
        <v>85</v>
      </c>
      <c r="H48" s="26">
        <v>0</v>
      </c>
      <c r="I48" s="91">
        <v>15</v>
      </c>
      <c r="J48" s="92">
        <f t="shared" si="0"/>
        <v>0.65625</v>
      </c>
      <c r="K48" s="92">
        <f t="shared" si="5"/>
        <v>0.56666666666666665</v>
      </c>
      <c r="L48" s="92">
        <f t="shared" si="2"/>
        <v>1</v>
      </c>
      <c r="M48" s="92">
        <f t="shared" si="3"/>
        <v>0.37187500000000001</v>
      </c>
      <c r="N48" s="87">
        <f t="shared" si="6"/>
        <v>10</v>
      </c>
    </row>
    <row r="49" spans="2:14" ht="20.100000000000001" customHeight="1">
      <c r="B49" s="64">
        <v>46260</v>
      </c>
      <c r="C49" s="89" t="s">
        <v>2</v>
      </c>
      <c r="D49" s="19">
        <v>9.5</v>
      </c>
      <c r="E49" s="19">
        <v>0.5</v>
      </c>
      <c r="F49" s="19">
        <v>5.5</v>
      </c>
      <c r="G49" s="19">
        <v>20</v>
      </c>
      <c r="H49" s="19">
        <v>0</v>
      </c>
      <c r="I49" s="89">
        <v>10</v>
      </c>
      <c r="J49" s="94">
        <f t="shared" si="0"/>
        <v>0.42105263157894735</v>
      </c>
      <c r="K49" s="94">
        <f t="shared" si="5"/>
        <v>0.5714285714285714</v>
      </c>
      <c r="L49" s="94">
        <f t="shared" si="2"/>
        <v>1</v>
      </c>
      <c r="M49" s="94">
        <f t="shared" si="3"/>
        <v>0.24060150375939848</v>
      </c>
      <c r="N49" s="65">
        <f t="shared" si="6"/>
        <v>3.5</v>
      </c>
    </row>
    <row r="50" spans="2:14" ht="20.100000000000001" customHeight="1">
      <c r="B50" s="66">
        <v>46261</v>
      </c>
      <c r="C50" s="91" t="s">
        <v>2</v>
      </c>
      <c r="D50" s="26">
        <v>12</v>
      </c>
      <c r="E50" s="26">
        <v>0</v>
      </c>
      <c r="F50" s="26">
        <v>7.5</v>
      </c>
      <c r="G50" s="26">
        <v>15</v>
      </c>
      <c r="H50" s="26">
        <v>0</v>
      </c>
      <c r="I50" s="91">
        <v>10</v>
      </c>
      <c r="J50" s="92">
        <f t="shared" si="0"/>
        <v>0.375</v>
      </c>
      <c r="K50" s="92">
        <f t="shared" si="5"/>
        <v>0.33333333333333331</v>
      </c>
      <c r="L50" s="92">
        <f t="shared" si="2"/>
        <v>1</v>
      </c>
      <c r="M50" s="92">
        <f t="shared" si="3"/>
        <v>0.125</v>
      </c>
      <c r="N50" s="87">
        <f t="shared" si="6"/>
        <v>4.5</v>
      </c>
    </row>
    <row r="51" spans="2:14" ht="20.100000000000001" customHeight="1">
      <c r="B51" s="64">
        <v>46261</v>
      </c>
      <c r="C51" s="89" t="s">
        <v>30</v>
      </c>
      <c r="D51" s="19">
        <v>11</v>
      </c>
      <c r="E51" s="19">
        <v>0.5</v>
      </c>
      <c r="F51" s="19">
        <v>7.35</v>
      </c>
      <c r="G51" s="19">
        <v>20</v>
      </c>
      <c r="H51" s="19">
        <v>0</v>
      </c>
      <c r="I51" s="89">
        <v>15</v>
      </c>
      <c r="J51" s="94">
        <f t="shared" si="0"/>
        <v>0.33181818181818185</v>
      </c>
      <c r="K51" s="94">
        <f>G51/(N51*I51)</f>
        <v>0.4232804232804232</v>
      </c>
      <c r="L51" s="94">
        <f t="shared" si="2"/>
        <v>1</v>
      </c>
      <c r="M51" s="94">
        <f t="shared" si="3"/>
        <v>0.14045214045214044</v>
      </c>
      <c r="N51" s="65">
        <f t="shared" si="6"/>
        <v>3.1500000000000004</v>
      </c>
    </row>
    <row r="52" spans="2:14" ht="20.100000000000001" customHeight="1">
      <c r="B52" s="66">
        <v>46262</v>
      </c>
      <c r="C52" s="91" t="s">
        <v>30</v>
      </c>
      <c r="D52" s="26">
        <v>6.9</v>
      </c>
      <c r="E52" s="26">
        <v>0</v>
      </c>
      <c r="F52" s="26">
        <v>3</v>
      </c>
      <c r="G52" s="26">
        <v>35</v>
      </c>
      <c r="H52" s="26">
        <v>0</v>
      </c>
      <c r="I52" s="91">
        <v>15</v>
      </c>
      <c r="J52" s="92">
        <f t="shared" si="0"/>
        <v>0.56521739130434789</v>
      </c>
      <c r="K52" s="92">
        <f t="shared" si="5"/>
        <v>0.59829059829059816</v>
      </c>
      <c r="L52" s="92">
        <f t="shared" si="2"/>
        <v>1</v>
      </c>
      <c r="M52" s="92">
        <f t="shared" si="3"/>
        <v>0.33816425120772942</v>
      </c>
      <c r="N52" s="87">
        <f t="shared" si="6"/>
        <v>3.9000000000000004</v>
      </c>
    </row>
    <row r="53" spans="2:14" ht="20.100000000000001" customHeight="1">
      <c r="B53" s="64">
        <v>46262</v>
      </c>
      <c r="C53" s="89" t="s">
        <v>12</v>
      </c>
      <c r="D53" s="19">
        <v>15.6</v>
      </c>
      <c r="E53" s="19">
        <v>2</v>
      </c>
      <c r="F53" s="19">
        <v>4</v>
      </c>
      <c r="G53" s="19">
        <v>100</v>
      </c>
      <c r="H53" s="19">
        <v>0</v>
      </c>
      <c r="I53" s="89">
        <v>15</v>
      </c>
      <c r="J53" s="94">
        <f t="shared" si="0"/>
        <v>0.74358974358974361</v>
      </c>
      <c r="K53" s="94">
        <f t="shared" si="5"/>
        <v>0.69444444444444442</v>
      </c>
      <c r="L53" s="94">
        <f t="shared" si="2"/>
        <v>1</v>
      </c>
      <c r="M53" s="94">
        <f t="shared" si="3"/>
        <v>0.51638176638176636</v>
      </c>
      <c r="N53" s="65">
        <f t="shared" si="6"/>
        <v>9.6</v>
      </c>
    </row>
    <row r="54" spans="2:14" ht="20.100000000000001" customHeight="1">
      <c r="B54" s="66">
        <v>46263</v>
      </c>
      <c r="C54" s="91" t="s">
        <v>12</v>
      </c>
      <c r="D54" s="26">
        <v>1.9</v>
      </c>
      <c r="E54" s="26">
        <v>0.5</v>
      </c>
      <c r="F54" s="26">
        <v>0</v>
      </c>
      <c r="G54" s="26">
        <v>10</v>
      </c>
      <c r="H54" s="26">
        <v>0</v>
      </c>
      <c r="I54" s="91">
        <v>15</v>
      </c>
      <c r="J54" s="92">
        <f t="shared" si="0"/>
        <v>1</v>
      </c>
      <c r="K54" s="92">
        <f t="shared" si="5"/>
        <v>0.47619047619047616</v>
      </c>
      <c r="L54" s="92">
        <f t="shared" si="2"/>
        <v>1</v>
      </c>
      <c r="M54" s="92">
        <f t="shared" si="3"/>
        <v>0.47619047619047616</v>
      </c>
      <c r="N54" s="87">
        <f t="shared" si="6"/>
        <v>1.4</v>
      </c>
    </row>
    <row r="55" spans="2:14" ht="20.100000000000001" customHeight="1">
      <c r="B55" s="64">
        <v>46263</v>
      </c>
      <c r="C55" s="89" t="s">
        <v>30</v>
      </c>
      <c r="D55" s="19">
        <v>14</v>
      </c>
      <c r="E55" s="19">
        <v>2</v>
      </c>
      <c r="F55" s="19">
        <v>1</v>
      </c>
      <c r="G55" s="19">
        <v>105</v>
      </c>
      <c r="H55" s="19">
        <v>0</v>
      </c>
      <c r="I55" s="89">
        <v>15</v>
      </c>
      <c r="J55" s="94">
        <f t="shared" si="0"/>
        <v>0.9285714285714286</v>
      </c>
      <c r="K55" s="94">
        <f t="shared" si="5"/>
        <v>0.63636363636363635</v>
      </c>
      <c r="L55" s="94">
        <f t="shared" si="2"/>
        <v>1</v>
      </c>
      <c r="M55" s="94">
        <f t="shared" si="3"/>
        <v>0.59090909090909094</v>
      </c>
      <c r="N55" s="65">
        <f t="shared" si="6"/>
        <v>11</v>
      </c>
    </row>
    <row r="56" spans="2:14" ht="20.100000000000001" customHeight="1">
      <c r="B56" s="66">
        <v>46264</v>
      </c>
      <c r="C56" s="91" t="s">
        <v>13</v>
      </c>
      <c r="D56" s="26">
        <v>15.2</v>
      </c>
      <c r="E56" s="26">
        <v>0</v>
      </c>
      <c r="F56" s="26">
        <v>2</v>
      </c>
      <c r="G56" s="26">
        <v>120</v>
      </c>
      <c r="H56" s="26">
        <v>0</v>
      </c>
      <c r="I56" s="91">
        <v>15</v>
      </c>
      <c r="J56" s="92">
        <f t="shared" si="0"/>
        <v>0.86842105263157898</v>
      </c>
      <c r="K56" s="92">
        <f t="shared" si="5"/>
        <v>0.60606060606060608</v>
      </c>
      <c r="L56" s="92">
        <f t="shared" si="2"/>
        <v>1</v>
      </c>
      <c r="M56" s="92">
        <f t="shared" si="3"/>
        <v>0.52631578947368429</v>
      </c>
      <c r="N56" s="87">
        <f t="shared" si="6"/>
        <v>13.2</v>
      </c>
    </row>
    <row r="57" spans="2:14" ht="20.100000000000001" customHeight="1">
      <c r="B57" s="66">
        <v>46265</v>
      </c>
      <c r="C57" s="89" t="s">
        <v>13</v>
      </c>
      <c r="D57" s="19">
        <v>1.4</v>
      </c>
      <c r="E57" s="19">
        <v>0</v>
      </c>
      <c r="F57" s="19">
        <v>0</v>
      </c>
      <c r="G57" s="19">
        <v>13.5</v>
      </c>
      <c r="H57" s="19">
        <v>0</v>
      </c>
      <c r="I57" s="89">
        <v>15</v>
      </c>
      <c r="J57" s="94">
        <f t="shared" si="0"/>
        <v>1</v>
      </c>
      <c r="K57" s="94">
        <f t="shared" si="5"/>
        <v>0.6428571428571429</v>
      </c>
      <c r="L57" s="94">
        <f t="shared" si="2"/>
        <v>1</v>
      </c>
      <c r="M57" s="94">
        <f t="shared" si="3"/>
        <v>0.6428571428571429</v>
      </c>
      <c r="N57" s="65">
        <f t="shared" si="6"/>
        <v>1.4</v>
      </c>
    </row>
    <row r="58" spans="2:14" ht="20.100000000000001" customHeight="1">
      <c r="B58" s="66">
        <v>46265</v>
      </c>
      <c r="C58" s="91" t="s">
        <v>2</v>
      </c>
      <c r="D58" s="26">
        <v>12.5</v>
      </c>
      <c r="E58" s="26">
        <v>0</v>
      </c>
      <c r="F58" s="26">
        <v>3.15</v>
      </c>
      <c r="G58" s="26">
        <v>60</v>
      </c>
      <c r="H58" s="26">
        <v>0</v>
      </c>
      <c r="I58" s="91">
        <v>10</v>
      </c>
      <c r="J58" s="92">
        <f t="shared" si="0"/>
        <v>0.748</v>
      </c>
      <c r="K58" s="92">
        <f t="shared" si="5"/>
        <v>0.64171122994652408</v>
      </c>
      <c r="L58" s="92">
        <f t="shared" si="2"/>
        <v>1</v>
      </c>
      <c r="M58" s="92">
        <f t="shared" si="3"/>
        <v>0.48</v>
      </c>
      <c r="N58" s="87">
        <f t="shared" si="6"/>
        <v>9.35</v>
      </c>
    </row>
    <row r="59" spans="2:14" ht="20.100000000000001" customHeight="1">
      <c r="B59" s="64"/>
      <c r="C59" s="89"/>
      <c r="D59" s="19"/>
      <c r="E59" s="19"/>
      <c r="F59" s="19"/>
      <c r="G59" s="19"/>
      <c r="H59" s="19"/>
      <c r="I59" s="89"/>
      <c r="J59" s="94"/>
      <c r="K59" s="94"/>
      <c r="L59" s="94"/>
      <c r="M59" s="94"/>
      <c r="N59" s="65" t="str">
        <f t="shared" si="6"/>
        <v/>
      </c>
    </row>
    <row r="60" spans="2:14" ht="20.100000000000001" customHeight="1">
      <c r="B60" s="66"/>
      <c r="C60" s="91"/>
      <c r="D60" s="26"/>
      <c r="E60" s="26"/>
      <c r="F60" s="26"/>
      <c r="G60" s="26"/>
      <c r="H60" s="26"/>
      <c r="I60" s="91"/>
      <c r="J60" s="92"/>
      <c r="K60" s="92"/>
      <c r="L60" s="92"/>
      <c r="M60" s="92"/>
      <c r="N60" s="87" t="str">
        <f t="shared" si="6"/>
        <v/>
      </c>
    </row>
    <row r="61" spans="2:14" ht="20.100000000000001" customHeight="1">
      <c r="B61" s="64"/>
      <c r="C61" s="89"/>
      <c r="D61" s="19"/>
      <c r="E61" s="19"/>
      <c r="F61" s="19"/>
      <c r="G61" s="19"/>
      <c r="H61" s="19"/>
      <c r="I61" s="89"/>
      <c r="J61" s="94"/>
      <c r="K61" s="94"/>
      <c r="L61" s="94"/>
      <c r="M61" s="94"/>
      <c r="N61" s="65" t="str">
        <f t="shared" si="6"/>
        <v/>
      </c>
    </row>
    <row r="62" spans="2:14" ht="20.100000000000001" customHeight="1">
      <c r="B62" s="66"/>
      <c r="C62" s="91"/>
      <c r="D62" s="26"/>
      <c r="E62" s="26"/>
      <c r="F62" s="26"/>
      <c r="G62" s="26"/>
      <c r="H62" s="91"/>
      <c r="I62" s="91"/>
      <c r="J62" s="92"/>
      <c r="K62" s="92"/>
      <c r="L62" s="92"/>
      <c r="M62" s="92"/>
      <c r="N62" s="87" t="str">
        <f t="shared" si="6"/>
        <v/>
      </c>
    </row>
    <row r="63" spans="2:14" ht="20.100000000000001" customHeight="1">
      <c r="B63" s="64"/>
      <c r="C63" s="89"/>
      <c r="D63" s="19"/>
      <c r="E63" s="19"/>
      <c r="F63" s="19"/>
      <c r="G63" s="19"/>
      <c r="H63" s="89"/>
      <c r="I63" s="89"/>
      <c r="J63" s="94"/>
      <c r="K63" s="94"/>
      <c r="L63" s="94"/>
      <c r="M63" s="94"/>
      <c r="N63" s="65" t="str">
        <f t="shared" si="6"/>
        <v/>
      </c>
    </row>
    <row r="64" spans="2:14" ht="15" customHeight="1">
      <c r="B64" s="64"/>
      <c r="C64" s="23"/>
      <c r="D64" s="26"/>
      <c r="E64" s="26"/>
      <c r="F64" s="26"/>
      <c r="G64" s="19"/>
      <c r="H64" s="23"/>
      <c r="I64" s="23"/>
      <c r="J64" s="24"/>
      <c r="K64" s="24"/>
      <c r="L64" s="24"/>
      <c r="M64" s="24"/>
      <c r="N64" s="65" t="str">
        <f t="shared" si="6"/>
        <v/>
      </c>
    </row>
    <row r="65" spans="2:17" ht="15" customHeight="1">
      <c r="B65" s="64"/>
      <c r="C65" s="23"/>
      <c r="D65" s="26"/>
      <c r="E65" s="26"/>
      <c r="F65" s="26"/>
      <c r="G65" s="19"/>
      <c r="H65" s="23"/>
      <c r="I65" s="23"/>
      <c r="J65" s="24"/>
      <c r="K65" s="24"/>
      <c r="L65" s="24"/>
      <c r="M65" s="24"/>
      <c r="N65" s="65" t="str">
        <f t="shared" si="6"/>
        <v/>
      </c>
    </row>
    <row r="66" spans="2:17">
      <c r="B66" s="60"/>
      <c r="N66" s="56"/>
    </row>
    <row r="67" spans="2:17">
      <c r="B67" s="61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9"/>
      <c r="P67" t="s">
        <v>50</v>
      </c>
    </row>
    <row r="70" spans="2:17" ht="15" hidden="1" customHeight="1">
      <c r="P70">
        <f>SUMIFS($G$15:$G$65,$C$15:$C$65,Q6,$B$15:$B$65,$P$14)</f>
        <v>60</v>
      </c>
      <c r="Q70">
        <f>IF(P70&gt;0,SUMPRODUCT(($P$70:P70&gt;0)*1),"")</f>
        <v>1</v>
      </c>
    </row>
    <row r="71" spans="2:17" ht="15" hidden="1" customHeight="1">
      <c r="P71">
        <f>SUMIFS($G$15:$G$65,$C$15:$C$65,Q7,$B$15:$B$65,$P$14)</f>
        <v>0</v>
      </c>
      <c r="Q71" t="str">
        <f>IF(P71&gt;0,SUMPRODUCT(($P$70:P71&gt;0)*1),"")</f>
        <v/>
      </c>
    </row>
    <row r="72" spans="2:17" ht="15" hidden="1" customHeight="1">
      <c r="P72">
        <f>SUMIFS($G$15:$G$65,$C$15:$C$65,Q8,$B$15:$B$65,$P$14)</f>
        <v>13.5</v>
      </c>
      <c r="Q72">
        <f>IF(P72&gt;0,SUMPRODUCT(($P$70:P72&gt;0)*1),"")</f>
        <v>2</v>
      </c>
    </row>
    <row r="73" spans="2:17" ht="15" hidden="1" customHeight="1">
      <c r="P73">
        <f>SUMIFS($G$15:$G$65,$C$15:$C$65,Q9,$B$15:$B$65,$P$14)</f>
        <v>0</v>
      </c>
      <c r="Q73" t="str">
        <f>IF(P73&gt;0,SUMPRODUCT(($P$70:P73&gt;0)*1),"")</f>
        <v/>
      </c>
    </row>
    <row r="74" spans="2:17" ht="15" hidden="1" customHeight="1">
      <c r="P74">
        <f>SUMIFS($G$15:$G$65,$C$15:$C$65,Q10,$B$15:$B$65,$P$14)</f>
        <v>0</v>
      </c>
      <c r="Q74" t="str">
        <f>IF(P74&gt;0,SUMPRODUCT(($P$70:P74&gt;0)*1),"")</f>
        <v/>
      </c>
    </row>
  </sheetData>
  <mergeCells count="29">
    <mergeCell ref="R30:U30"/>
    <mergeCell ref="R25:U25"/>
    <mergeCell ref="P28:Q28"/>
    <mergeCell ref="P20:U20"/>
    <mergeCell ref="R27:U27"/>
    <mergeCell ref="P30:Q30"/>
    <mergeCell ref="R26:U26"/>
    <mergeCell ref="P22:U22"/>
    <mergeCell ref="P21:U21"/>
    <mergeCell ref="B3:N4"/>
    <mergeCell ref="P17:U17"/>
    <mergeCell ref="P16:U16"/>
    <mergeCell ref="P19:U19"/>
    <mergeCell ref="P13:U13"/>
    <mergeCell ref="P18:U18"/>
    <mergeCell ref="M7:N7"/>
    <mergeCell ref="M6:N6"/>
    <mergeCell ref="P11:U12"/>
    <mergeCell ref="P14:U14"/>
    <mergeCell ref="B13:N13"/>
    <mergeCell ref="P3:U4"/>
    <mergeCell ref="V3:Z3"/>
    <mergeCell ref="P26:Q26"/>
    <mergeCell ref="P29:Q29"/>
    <mergeCell ref="P23:U23"/>
    <mergeCell ref="P25:Q25"/>
    <mergeCell ref="R29:U29"/>
    <mergeCell ref="P27:Q27"/>
    <mergeCell ref="R28:U28"/>
  </mergeCells>
  <dataValidations count="2">
    <dataValidation type="list" showDropDown="1" sqref="P14" xr:uid="{00000000-0002-0000-0400-000000000000}">
      <formula1>$Z$15:$Z$37</formula1>
    </dataValidation>
    <dataValidation type="list" allowBlank="1" errorTitle="Date invalide" error="Veuillez sélectionner une date valide dans la liste." promptTitle="Choix de la date" prompt="Sélectionnez une date" sqref="P14" xr:uid="{00000000-0002-0000-0400-000001000000}">
      <formula1>$B$15:$B$51</formula1>
    </dataValidation>
  </dataValidations>
  <pageMargins left="0.75" right="0.75" top="1" bottom="1" header="0.511811023622047" footer="0.511811023622047"/>
  <pageSetup paperSize="9" scale="37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A1DE6-CD88-44D7-A464-B4C8ABE885C6}">
  <sheetPr>
    <pageSetUpPr fitToPage="1"/>
  </sheetPr>
  <dimension ref="B1:AD74"/>
  <sheetViews>
    <sheetView showGridLines="0" showRowColHeaders="0" tabSelected="1" zoomScaleNormal="100" workbookViewId="0">
      <pane ySplit="1" topLeftCell="A2" activePane="bottomLeft" state="frozen"/>
      <selection pane="bottomLeft" activeCell="A6" sqref="A6"/>
    </sheetView>
  </sheetViews>
  <sheetFormatPr baseColWidth="10" defaultColWidth="9.140625" defaultRowHeight="15"/>
  <cols>
    <col min="1" max="1" width="6.7109375" customWidth="1"/>
    <col min="2" max="2" width="16.7109375" style="2" customWidth="1"/>
    <col min="3" max="14" width="16.7109375" customWidth="1"/>
    <col min="15" max="15" width="1.42578125" style="34" customWidth="1"/>
    <col min="16" max="16" width="11.28515625" customWidth="1"/>
    <col min="17" max="17" width="9.140625" style="33" customWidth="1"/>
    <col min="19" max="19" width="7.5703125" customWidth="1"/>
    <col min="20" max="20" width="1.42578125" customWidth="1"/>
    <col min="21" max="21" width="2.140625" customWidth="1"/>
    <col min="22" max="24" width="10" hidden="1" customWidth="1"/>
    <col min="25" max="25" width="9" hidden="1" customWidth="1"/>
    <col min="26" max="26" width="12" hidden="1" customWidth="1"/>
    <col min="30" max="30" width="10.7109375" bestFit="1" customWidth="1"/>
  </cols>
  <sheetData>
    <row r="1" spans="2:30" ht="9.75" customHeight="1"/>
    <row r="2" spans="2:30" ht="9.75" customHeight="1"/>
    <row r="3" spans="2:30" ht="15" customHeight="1" thickBot="1">
      <c r="B3" s="124" t="s">
        <v>51</v>
      </c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6"/>
      <c r="P3" s="140" t="s">
        <v>41</v>
      </c>
      <c r="Q3" s="125"/>
      <c r="R3" s="125"/>
      <c r="S3" s="125"/>
      <c r="T3" s="125"/>
      <c r="U3" s="139"/>
      <c r="V3" s="115" t="s">
        <v>42</v>
      </c>
      <c r="W3" s="99"/>
      <c r="X3" s="99"/>
      <c r="Y3" s="99"/>
      <c r="Z3" s="99"/>
    </row>
    <row r="4" spans="2:30" ht="15" customHeight="1" thickBot="1">
      <c r="B4" s="127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10"/>
      <c r="P4" s="141"/>
      <c r="Q4" s="104"/>
      <c r="R4" s="99"/>
      <c r="S4" s="99"/>
      <c r="T4" s="99"/>
      <c r="U4" s="119"/>
    </row>
    <row r="5" spans="2:30" ht="1.5" customHeight="1">
      <c r="B5" s="60"/>
      <c r="N5" s="56"/>
      <c r="P5" s="55"/>
      <c r="U5" s="56"/>
      <c r="V5" s="48" t="s">
        <v>22</v>
      </c>
      <c r="W5" s="48" t="s">
        <v>25</v>
      </c>
      <c r="X5" s="48" t="s">
        <v>26</v>
      </c>
      <c r="Y5" s="48" t="s">
        <v>28</v>
      </c>
      <c r="Z5" s="48" t="s">
        <v>29</v>
      </c>
    </row>
    <row r="6" spans="2:30" ht="44.25" customHeight="1">
      <c r="B6" s="60"/>
      <c r="C6" s="77">
        <v>2500</v>
      </c>
      <c r="D6" s="73">
        <f>IF(C6&gt;0, SUM(G15:G61)/C6, 0)</f>
        <v>0.32979999999999998</v>
      </c>
      <c r="F6" s="74">
        <f>IFERROR(AVERAGE(J15:J44), 0)</f>
        <v>0.94843892608266289</v>
      </c>
      <c r="G6" s="74">
        <f>IFERROR(AVERAGE(K15:K44), 0)</f>
        <v>0.58463718341606652</v>
      </c>
      <c r="H6" s="74">
        <f>IFERROR(AVERAGE(L15:L44), 0)</f>
        <v>1</v>
      </c>
      <c r="I6" s="75">
        <f>IFERROR(AVERAGE(M15:M61), 0)</f>
        <v>0.55589650057816553</v>
      </c>
      <c r="K6" s="76">
        <f>SUM(G15:G61)</f>
        <v>824.5</v>
      </c>
      <c r="L6" s="78">
        <f>SUM(H15:H61)</f>
        <v>0</v>
      </c>
      <c r="M6" s="134">
        <f>SUM(N15:N61)</f>
        <v>101.2</v>
      </c>
      <c r="N6" s="119"/>
      <c r="P6" s="55"/>
      <c r="Q6" s="10" t="s">
        <v>2</v>
      </c>
      <c r="R6" s="68">
        <f>SUMIF(C15:C91,Q6,G15:G131)</f>
        <v>185</v>
      </c>
      <c r="S6" s="71">
        <f>R6/SUM(R6:R10)</f>
        <v>0.22437841115827775</v>
      </c>
      <c r="U6" s="56"/>
      <c r="V6" s="49">
        <f>IFERROR(INDEX($G$15:$G$65,SUMPRODUCT(MAX(($C$15:$C$65=Q6)*ROW($C$15:$C$65)))-ROW($C$15)+1),"-")</f>
        <v>25</v>
      </c>
      <c r="W6" s="50">
        <f>IFERROR(INDEX($J$15:$J$65,SUMPRODUCT(MAX(($C$15:$C$65=Q6)*ROW($C$15:$C$65)))-ROW($C$15)+1),"-")</f>
        <v>1</v>
      </c>
      <c r="X6" s="50">
        <f>IFERROR(INDEX($K$15:$K$65,SUMPRODUCT(MAX(($C$15:$C$65=Q6)*ROW($C$15:$C$65)))-ROW($C$15)+1),"-")</f>
        <v>0.65789473684210531</v>
      </c>
      <c r="Y6" s="50">
        <f>IFERROR(INDEX($M$15:$M$65,SUMPRODUCT(MAX(($C$15:$C$65=Q6)*ROW($C$15:$C$65)))-ROW($C$15)+1),"-")</f>
        <v>0.65789473684210531</v>
      </c>
      <c r="Z6" s="51">
        <f>IFERROR(INDEX($N$15:$N$65,SUMPRODUCT(MAX(($C$15:$C$65=Q6)*ROW($C$15:$C$65)))-ROW($C$15)+1),"-")</f>
        <v>3.8</v>
      </c>
    </row>
    <row r="7" spans="2:30" ht="15" customHeight="1">
      <c r="B7" s="60"/>
      <c r="C7" s="12" t="s">
        <v>3</v>
      </c>
      <c r="D7" s="12" t="s">
        <v>4</v>
      </c>
      <c r="F7" s="12" t="s">
        <v>5</v>
      </c>
      <c r="G7" s="12" t="s">
        <v>6</v>
      </c>
      <c r="H7" s="12" t="s">
        <v>7</v>
      </c>
      <c r="I7" s="12" t="s">
        <v>8</v>
      </c>
      <c r="K7" s="12" t="s">
        <v>9</v>
      </c>
      <c r="L7" s="12" t="s">
        <v>10</v>
      </c>
      <c r="M7" s="133" t="s">
        <v>34</v>
      </c>
      <c r="N7" s="119"/>
      <c r="P7" s="55"/>
      <c r="Q7" s="67" t="s">
        <v>12</v>
      </c>
      <c r="R7" s="68">
        <f>SUMIF(C15:C92,Q7,G15:G132)</f>
        <v>266.5</v>
      </c>
      <c r="S7" s="71">
        <f>R7/SUM(R6:R10)</f>
        <v>0.32322619769557309</v>
      </c>
      <c r="U7" s="56"/>
      <c r="V7" s="49">
        <f>IFERROR(INDEX($G$15:$G$65,SUMPRODUCT(MAX(($C$15:$C$65=Q7)*ROW($C$15:$C$65)))-ROW($C$15)+1),"-")</f>
        <v>76.5</v>
      </c>
      <c r="W7" s="50">
        <f>IFERROR(INDEX($J$15:$J$65,SUMPRODUCT(MAX(($C$15:$C$65=Q7)*ROW($C$15:$C$65)))-ROW($C$15)+1),"-")</f>
        <v>0.94736842105263153</v>
      </c>
      <c r="X7" s="50">
        <f>IFERROR(INDEX($K$15:$K$65,SUMPRODUCT(MAX(($C$15:$C$65=Q7)*ROW($C$15:$C$65)))-ROW($C$15)+1),"-")</f>
        <v>0.6</v>
      </c>
      <c r="Y7" s="50">
        <f>IFERROR(INDEX($M$15:$M$65,SUMPRODUCT(MAX(($C$15:$C$65=Q7)*ROW($C$15:$C$65)))-ROW($C$15)+1),"-")</f>
        <v>0.56842105263157894</v>
      </c>
      <c r="Z7" s="51">
        <f>IFERROR(INDEX($N$15:$N$65,SUMPRODUCT(MAX(($C$15:$C$65=Q7)*ROW($C$15:$C$65)))-ROW($C$15)+1),"-")</f>
        <v>8.5</v>
      </c>
    </row>
    <row r="8" spans="2:30" ht="15" customHeight="1">
      <c r="B8" s="60"/>
      <c r="N8" s="56"/>
      <c r="P8" s="55"/>
      <c r="Q8" s="67" t="s">
        <v>13</v>
      </c>
      <c r="R8" s="68">
        <f>SUMIF(C15:C93,Q8,G15:G133)</f>
        <v>170.5</v>
      </c>
      <c r="S8" s="71">
        <f>R8/SUM(R6:R11)</f>
        <v>0.20679199514857488</v>
      </c>
      <c r="U8" s="56"/>
      <c r="V8" s="49">
        <f>IFERROR(INDEX($G$15:$G$65,SUMPRODUCT(MAX(($C$15:$C$65=Q8)*ROW($C$15:$C$65)))-ROW($C$15)+1),"-")</f>
        <v>88</v>
      </c>
      <c r="W8" s="50">
        <f>IFERROR(INDEX($J$15:$J$65,SUMPRODUCT(MAX(($C$15:$C$65=Q8)*ROW($C$15:$C$65)))-ROW($C$15)+1),"-")</f>
        <v>0.96842105263157885</v>
      </c>
      <c r="X8" s="50">
        <f>IFERROR(INDEX($K$15:$K$65,SUMPRODUCT(MAX(($C$15:$C$65=Q8)*ROW($C$15:$C$65)))-ROW($C$15)+1),"-")</f>
        <v>0.67432950191570884</v>
      </c>
      <c r="Y8" s="50">
        <f>IFERROR(INDEX($M$15:$M$65,SUMPRODUCT(MAX(($C$15:$C$65=Q8)*ROW($C$15:$C$65)))-ROW($C$15)+1),"-")</f>
        <v>0.65303488606573901</v>
      </c>
      <c r="Z8" s="51">
        <f>IFERROR(INDEX($N$15:$N$65,SUMPRODUCT(MAX(($C$15:$C$65=Q8)*ROW($C$15:$C$65)))-ROW($C$15)+1),"-")</f>
        <v>8.6999999999999993</v>
      </c>
    </row>
    <row r="9" spans="2:30" ht="15" customHeight="1">
      <c r="B9" s="60"/>
      <c r="N9" s="56"/>
      <c r="P9" s="55"/>
      <c r="Q9" s="67" t="s">
        <v>14</v>
      </c>
      <c r="R9" s="68">
        <f>SUMIF(C15:C94,Q9,G15:G134)</f>
        <v>25</v>
      </c>
      <c r="S9" s="71">
        <f>R9/SUM(R6:R12)</f>
        <v>3.0321406913280776E-2</v>
      </c>
      <c r="U9" s="56"/>
      <c r="V9" s="49">
        <f>IFERROR(INDEX($G$15:$G$65,SUMPRODUCT(MAX(($C$15:$C$65=Q9)*ROW($C$15:$C$65)))-ROW($C$15)+1),"-")</f>
        <v>25</v>
      </c>
      <c r="W9" s="50">
        <f>IFERROR(INDEX($J$15:$J$65,SUMPRODUCT(MAX(($C$15:$C$65=Q9)*ROW($C$15:$C$65)))-ROW($C$15)+1),"-")</f>
        <v>1</v>
      </c>
      <c r="X9" s="50">
        <f>IFERROR(INDEX($K$15:$K$65,SUMPRODUCT(MAX(($C$15:$C$65=Q9)*ROW($C$15:$C$65)))-ROW($C$15)+1),"-")</f>
        <v>0.66666666666666663</v>
      </c>
      <c r="Y9" s="50">
        <f>IFERROR(INDEX($M$15:$M$65,SUMPRODUCT(MAX(($C$15:$C$65=Q9)*ROW($C$15:$C$65)))-ROW($C$15)+1),"-")</f>
        <v>0.66666666666666663</v>
      </c>
      <c r="Z9" s="51">
        <f>IFERROR(INDEX($N$15:$N$65,SUMPRODUCT(MAX(($C$15:$C$65=Q9)*ROW($C$15:$C$65)))-ROW($C$15)+1),"-")</f>
        <v>2.5</v>
      </c>
    </row>
    <row r="10" spans="2:30" ht="15" customHeight="1">
      <c r="B10" s="61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9"/>
      <c r="P10" s="57"/>
      <c r="Q10" s="69" t="s">
        <v>30</v>
      </c>
      <c r="R10" s="70">
        <f>SUMIF(C16:C95,Q10,G16:G135)</f>
        <v>177.5</v>
      </c>
      <c r="S10" s="72">
        <f>R10/SUM(R6:R13)</f>
        <v>0.21528198908429352</v>
      </c>
      <c r="T10" s="58"/>
      <c r="U10" s="59"/>
      <c r="V10" s="49">
        <f>IFERROR(INDEX($G$15:$G$65,SUMPRODUCT(MAX(($C$15:$C$65=Q10)*ROW($C$15:$C$65)))-ROW($C$15)+1),"-")</f>
        <v>47.5</v>
      </c>
      <c r="W10" s="50">
        <f>IFERROR(INDEX($J$15:$J$65,SUMPRODUCT(MAX(($C$15:$C$65=Q10)*ROW($C$15:$C$65)))-ROW($C$15)+1),"-")</f>
        <v>1</v>
      </c>
      <c r="X10" s="50">
        <f>IFERROR(INDEX($K$15:$K$65,SUMPRODUCT(MAX(($C$15:$C$65=Q10)*ROW($C$15:$C$65)))-ROW($C$15)+1),"-")</f>
        <v>0.53672316384180796</v>
      </c>
      <c r="Y10" s="50">
        <f>IFERROR(INDEX($M$15:$M$65,SUMPRODUCT(MAX(($C$15:$C$65=Q10)*ROW($C$15:$C$65)))-ROW($C$15)+1),"-")</f>
        <v>0.53672316384180796</v>
      </c>
      <c r="Z10" s="51">
        <f>IFERROR(INDEX($N$15:$N$65,SUMPRODUCT(MAX(($C$15:$C$65=Q10)*ROW($C$15:$C$65)))-ROW($C$15)+1),"-")</f>
        <v>5.8999999999999995</v>
      </c>
    </row>
    <row r="11" spans="2:30" ht="4.5" customHeight="1">
      <c r="P11" s="103"/>
      <c r="Q11" s="104"/>
      <c r="R11" s="99"/>
      <c r="S11" s="99"/>
      <c r="T11" s="99"/>
      <c r="U11" s="99"/>
    </row>
    <row r="12" spans="2:30" ht="4.5" customHeight="1">
      <c r="P12" s="99"/>
      <c r="Q12" s="104"/>
      <c r="R12" s="99"/>
      <c r="S12" s="99"/>
      <c r="T12" s="99"/>
      <c r="U12" s="99"/>
      <c r="V12" s="35">
        <v>3</v>
      </c>
    </row>
    <row r="13" spans="2:30" ht="24.75" customHeight="1" thickBot="1">
      <c r="B13" s="138" t="s">
        <v>16</v>
      </c>
      <c r="C13" s="125"/>
      <c r="D13" s="125"/>
      <c r="E13" s="125"/>
      <c r="F13" s="125"/>
      <c r="G13" s="125"/>
      <c r="H13" s="125"/>
      <c r="I13" s="125"/>
      <c r="J13" s="125"/>
      <c r="K13" s="125"/>
      <c r="L13" s="125"/>
      <c r="M13" s="125"/>
      <c r="N13" s="139"/>
      <c r="P13" s="129" t="s">
        <v>15</v>
      </c>
      <c r="Q13" s="130"/>
      <c r="R13" s="130"/>
      <c r="S13" s="130"/>
      <c r="T13" s="130"/>
      <c r="U13" s="131"/>
    </row>
    <row r="14" spans="2:30" ht="39" customHeight="1">
      <c r="B14" s="62" t="s">
        <v>17</v>
      </c>
      <c r="C14" s="17" t="s">
        <v>18</v>
      </c>
      <c r="D14" s="47" t="s">
        <v>35</v>
      </c>
      <c r="E14" s="17" t="s">
        <v>20</v>
      </c>
      <c r="F14" s="17" t="s">
        <v>21</v>
      </c>
      <c r="G14" s="17" t="s">
        <v>22</v>
      </c>
      <c r="H14" s="17" t="s">
        <v>23</v>
      </c>
      <c r="I14" s="47" t="s">
        <v>36</v>
      </c>
      <c r="J14" s="17" t="s">
        <v>25</v>
      </c>
      <c r="K14" s="17" t="s">
        <v>37</v>
      </c>
      <c r="L14" s="17" t="s">
        <v>27</v>
      </c>
      <c r="M14" s="17" t="s">
        <v>38</v>
      </c>
      <c r="N14" s="63" t="s">
        <v>29</v>
      </c>
      <c r="O14" s="36"/>
      <c r="P14" s="135">
        <v>46276</v>
      </c>
      <c r="Q14" s="136"/>
      <c r="R14" s="136"/>
      <c r="S14" s="136"/>
      <c r="T14" s="136"/>
      <c r="U14" s="137"/>
      <c r="AD14" s="97" t="s">
        <v>52</v>
      </c>
    </row>
    <row r="15" spans="2:30" ht="18" customHeight="1">
      <c r="B15" s="64">
        <v>46266</v>
      </c>
      <c r="C15" s="89" t="s">
        <v>2</v>
      </c>
      <c r="D15" s="19">
        <v>3.1</v>
      </c>
      <c r="E15" s="19">
        <v>0.5</v>
      </c>
      <c r="F15" s="19">
        <v>0.3</v>
      </c>
      <c r="G15" s="19">
        <v>10</v>
      </c>
      <c r="H15" s="19">
        <v>0</v>
      </c>
      <c r="I15" s="89">
        <v>10</v>
      </c>
      <c r="J15" s="94">
        <f t="shared" ref="J15:J30" si="0">IF(D15&gt;0, (D15-F15)/D15, "")</f>
        <v>0.90322580645161299</v>
      </c>
      <c r="K15" s="94">
        <f t="shared" ref="K15:K30" si="1">G15/(N15*I15)</f>
        <v>0.43478260869565211</v>
      </c>
      <c r="L15" s="94">
        <f t="shared" ref="L15:L30" si="2">IF(G15&gt;0, (G15-H15)/G15, "")</f>
        <v>1</v>
      </c>
      <c r="M15" s="94">
        <f t="shared" ref="M15:M30" si="3">IF(AND(ISNUMBER(J15), ISNUMBER(K15), ISNUMBER(L15)), J15*K15*L15, "")</f>
        <v>0.39270687237026647</v>
      </c>
      <c r="N15" s="65">
        <f t="shared" ref="N15:N31" si="4">IF(D15&gt;0, D15-E15-F15, "")</f>
        <v>2.3000000000000003</v>
      </c>
      <c r="O15" s="37"/>
      <c r="P15" s="95"/>
      <c r="Q15" s="81"/>
      <c r="R15" s="82"/>
      <c r="S15" s="81"/>
      <c r="T15" s="81"/>
      <c r="U15" s="83"/>
      <c r="W15" s="52"/>
      <c r="Y15" s="52"/>
      <c r="Z15" s="86">
        <v>46237</v>
      </c>
      <c r="AD15" s="86">
        <f>DATE(2026,9,ROW()-14)</f>
        <v>46266</v>
      </c>
    </row>
    <row r="16" spans="2:30" ht="18" customHeight="1">
      <c r="B16" s="66">
        <v>46266</v>
      </c>
      <c r="C16" s="26" t="s">
        <v>30</v>
      </c>
      <c r="D16" s="26">
        <v>4.8</v>
      </c>
      <c r="E16" s="26">
        <v>0</v>
      </c>
      <c r="F16" s="26">
        <v>0</v>
      </c>
      <c r="G16" s="26">
        <v>40</v>
      </c>
      <c r="H16" s="26">
        <v>0</v>
      </c>
      <c r="I16" s="26">
        <v>15</v>
      </c>
      <c r="J16" s="92">
        <f t="shared" si="0"/>
        <v>1</v>
      </c>
      <c r="K16" s="92">
        <f t="shared" si="1"/>
        <v>0.55555555555555558</v>
      </c>
      <c r="L16" s="92">
        <f t="shared" si="2"/>
        <v>1</v>
      </c>
      <c r="M16" s="92">
        <f t="shared" si="3"/>
        <v>0.55555555555555558</v>
      </c>
      <c r="N16" s="87">
        <f t="shared" si="4"/>
        <v>4.8</v>
      </c>
      <c r="O16" s="37"/>
      <c r="P16" s="128">
        <f>SUMIFS($G$15:$G$65,$B$15:$B$65,$P$14)</f>
        <v>72.5</v>
      </c>
      <c r="Q16" s="104"/>
      <c r="R16" s="99"/>
      <c r="S16" s="99"/>
      <c r="T16" s="99"/>
      <c r="U16" s="119"/>
      <c r="W16" s="52"/>
      <c r="X16" s="52"/>
      <c r="Y16" s="52"/>
      <c r="Z16" s="86">
        <v>46238</v>
      </c>
      <c r="AD16" s="86">
        <f t="shared" ref="AD16:AD44" si="5">DATE(2026,9,ROW()-14)</f>
        <v>46267</v>
      </c>
    </row>
    <row r="17" spans="2:30" ht="18" customHeight="1">
      <c r="B17" s="64">
        <v>46267</v>
      </c>
      <c r="C17" s="19" t="s">
        <v>30</v>
      </c>
      <c r="D17" s="19">
        <v>4.8</v>
      </c>
      <c r="E17" s="19">
        <v>0.5</v>
      </c>
      <c r="F17" s="19">
        <v>0</v>
      </c>
      <c r="G17" s="19">
        <v>30</v>
      </c>
      <c r="H17" s="19">
        <v>0</v>
      </c>
      <c r="I17" s="19">
        <v>15</v>
      </c>
      <c r="J17" s="94">
        <f t="shared" si="0"/>
        <v>1</v>
      </c>
      <c r="K17" s="94">
        <f t="shared" si="1"/>
        <v>0.46511627906976744</v>
      </c>
      <c r="L17" s="94">
        <f t="shared" si="2"/>
        <v>1</v>
      </c>
      <c r="M17" s="94">
        <f t="shared" si="3"/>
        <v>0.46511627906976744</v>
      </c>
      <c r="N17" s="65">
        <f t="shared" si="4"/>
        <v>4.3</v>
      </c>
      <c r="O17" s="37"/>
      <c r="P17" s="118" t="s">
        <v>43</v>
      </c>
      <c r="Q17" s="104"/>
      <c r="R17" s="99"/>
      <c r="S17" s="99"/>
      <c r="T17" s="99"/>
      <c r="U17" s="119"/>
      <c r="W17" s="52"/>
      <c r="X17" s="52"/>
      <c r="Y17" s="52"/>
      <c r="Z17" s="86">
        <v>46239</v>
      </c>
      <c r="AD17" s="86">
        <f t="shared" si="5"/>
        <v>46268</v>
      </c>
    </row>
    <row r="18" spans="2:30" ht="18" customHeight="1">
      <c r="B18" s="90">
        <v>46267</v>
      </c>
      <c r="C18" s="91" t="s">
        <v>12</v>
      </c>
      <c r="D18" s="91">
        <v>13.5</v>
      </c>
      <c r="E18" s="91">
        <v>2</v>
      </c>
      <c r="F18" s="91">
        <v>0.7</v>
      </c>
      <c r="G18" s="26">
        <v>110</v>
      </c>
      <c r="H18" s="26">
        <v>0</v>
      </c>
      <c r="I18" s="26">
        <v>15</v>
      </c>
      <c r="J18" s="92">
        <f t="shared" si="0"/>
        <v>0.94814814814814818</v>
      </c>
      <c r="K18" s="92">
        <f t="shared" si="1"/>
        <v>0.67901234567901236</v>
      </c>
      <c r="L18" s="92">
        <f t="shared" si="2"/>
        <v>1</v>
      </c>
      <c r="M18" s="92">
        <f t="shared" si="3"/>
        <v>0.64380429812528583</v>
      </c>
      <c r="N18" s="87">
        <f t="shared" si="4"/>
        <v>10.8</v>
      </c>
      <c r="O18" s="37"/>
      <c r="P18" s="132">
        <f>IFERROR(AVERAGEIFS($M$15:$M$65,$B$15:$B$65,$P$14),0)</f>
        <v>0.59730895034195663</v>
      </c>
      <c r="Q18" s="104"/>
      <c r="R18" s="99"/>
      <c r="S18" s="99"/>
      <c r="T18" s="99"/>
      <c r="U18" s="119"/>
      <c r="W18" s="52"/>
      <c r="X18" s="52"/>
      <c r="Y18" s="52"/>
      <c r="Z18" s="86">
        <v>46240</v>
      </c>
      <c r="AD18" s="86">
        <f t="shared" si="5"/>
        <v>46269</v>
      </c>
    </row>
    <row r="19" spans="2:30" ht="18" customHeight="1">
      <c r="B19" s="64">
        <v>46268</v>
      </c>
      <c r="C19" s="19" t="s">
        <v>12</v>
      </c>
      <c r="D19" s="19">
        <v>8</v>
      </c>
      <c r="E19" s="19">
        <v>0.5</v>
      </c>
      <c r="F19" s="19">
        <v>2.5</v>
      </c>
      <c r="G19" s="19">
        <v>40</v>
      </c>
      <c r="H19" s="19">
        <v>0</v>
      </c>
      <c r="I19" s="19">
        <v>15</v>
      </c>
      <c r="J19" s="94">
        <f t="shared" si="0"/>
        <v>0.6875</v>
      </c>
      <c r="K19" s="94">
        <f t="shared" si="1"/>
        <v>0.53333333333333333</v>
      </c>
      <c r="L19" s="20">
        <f t="shared" si="2"/>
        <v>1</v>
      </c>
      <c r="M19" s="94">
        <f t="shared" si="3"/>
        <v>0.36666666666666664</v>
      </c>
      <c r="N19" s="65">
        <f t="shared" si="4"/>
        <v>5</v>
      </c>
      <c r="O19" s="37"/>
      <c r="P19" s="118" t="s">
        <v>44</v>
      </c>
      <c r="Q19" s="104"/>
      <c r="R19" s="99"/>
      <c r="S19" s="99"/>
      <c r="T19" s="99"/>
      <c r="U19" s="119"/>
      <c r="W19" s="52"/>
      <c r="X19" s="52"/>
      <c r="Y19" s="52"/>
      <c r="Z19" s="86">
        <v>46241</v>
      </c>
      <c r="AD19" s="86">
        <f>DATE(2026,9,ROW()-14)</f>
        <v>46270</v>
      </c>
    </row>
    <row r="20" spans="2:30" ht="18" customHeight="1">
      <c r="B20" s="90">
        <v>46268</v>
      </c>
      <c r="C20" s="91" t="s">
        <v>2</v>
      </c>
      <c r="D20" s="91">
        <v>10.5</v>
      </c>
      <c r="E20" s="91">
        <v>2</v>
      </c>
      <c r="F20" s="91">
        <v>0.3</v>
      </c>
      <c r="G20" s="26">
        <v>55</v>
      </c>
      <c r="H20" s="26">
        <v>0</v>
      </c>
      <c r="I20" s="26">
        <v>10</v>
      </c>
      <c r="J20" s="92">
        <f t="shared" si="0"/>
        <v>0.97142857142857131</v>
      </c>
      <c r="K20" s="92">
        <f t="shared" si="1"/>
        <v>0.67073170731707321</v>
      </c>
      <c r="L20" s="41">
        <f t="shared" si="2"/>
        <v>1</v>
      </c>
      <c r="M20" s="92">
        <f t="shared" si="3"/>
        <v>0.65156794425087106</v>
      </c>
      <c r="N20" s="87">
        <f t="shared" si="4"/>
        <v>8.1999999999999993</v>
      </c>
      <c r="O20" s="37"/>
      <c r="P20" s="146">
        <f>SUMIFS($N$15:$N$65,$B$15:$B$65,$P$14)</f>
        <v>9.6999999999999993</v>
      </c>
      <c r="Q20" s="104"/>
      <c r="R20" s="99"/>
      <c r="S20" s="99"/>
      <c r="T20" s="99"/>
      <c r="U20" s="119"/>
      <c r="W20" s="52"/>
      <c r="X20" s="52"/>
      <c r="Y20" s="52"/>
      <c r="Z20" s="86">
        <v>46242</v>
      </c>
      <c r="AD20" s="86">
        <f t="shared" si="5"/>
        <v>46271</v>
      </c>
    </row>
    <row r="21" spans="2:30" ht="18" customHeight="1">
      <c r="B21" s="64">
        <v>46269</v>
      </c>
      <c r="C21" s="19" t="s">
        <v>2</v>
      </c>
      <c r="D21" s="19">
        <v>18</v>
      </c>
      <c r="E21" s="88">
        <v>0.5</v>
      </c>
      <c r="F21" s="89">
        <v>3</v>
      </c>
      <c r="G21" s="19">
        <v>85</v>
      </c>
      <c r="H21" s="19">
        <v>0</v>
      </c>
      <c r="I21" s="19">
        <v>10</v>
      </c>
      <c r="J21" s="94">
        <f t="shared" si="0"/>
        <v>0.83333333333333337</v>
      </c>
      <c r="K21" s="20">
        <f t="shared" si="1"/>
        <v>0.58620689655172409</v>
      </c>
      <c r="L21" s="20">
        <f t="shared" si="2"/>
        <v>1</v>
      </c>
      <c r="M21" s="94">
        <f t="shared" si="3"/>
        <v>0.48850574712643674</v>
      </c>
      <c r="N21" s="65">
        <f t="shared" si="4"/>
        <v>14.5</v>
      </c>
      <c r="O21" s="37"/>
      <c r="P21" s="118" t="s">
        <v>45</v>
      </c>
      <c r="Q21" s="104"/>
      <c r="R21" s="99"/>
      <c r="S21" s="99"/>
      <c r="T21" s="99"/>
      <c r="U21" s="119"/>
      <c r="Z21" s="86">
        <v>46243</v>
      </c>
      <c r="AD21" s="86">
        <f t="shared" si="5"/>
        <v>46272</v>
      </c>
    </row>
    <row r="22" spans="2:30" ht="18" customHeight="1">
      <c r="B22" s="66">
        <v>46270</v>
      </c>
      <c r="C22" s="40" t="s">
        <v>13</v>
      </c>
      <c r="D22" s="26">
        <v>9</v>
      </c>
      <c r="E22" s="26">
        <v>0.5</v>
      </c>
      <c r="F22" s="26">
        <v>0</v>
      </c>
      <c r="G22" s="26">
        <v>82.5</v>
      </c>
      <c r="H22" s="26">
        <v>0</v>
      </c>
      <c r="I22" s="26">
        <v>15</v>
      </c>
      <c r="J22" s="24">
        <f t="shared" si="0"/>
        <v>1</v>
      </c>
      <c r="K22" s="24">
        <f t="shared" si="1"/>
        <v>0.6470588235294118</v>
      </c>
      <c r="L22" s="24">
        <f t="shared" si="2"/>
        <v>1</v>
      </c>
      <c r="M22" s="24">
        <f t="shared" si="3"/>
        <v>0.6470588235294118</v>
      </c>
      <c r="N22" s="96">
        <f t="shared" si="4"/>
        <v>8.5</v>
      </c>
      <c r="O22" s="37"/>
      <c r="P22" s="149">
        <f>IFERROR(AVERAGEIFS($K$15:$K$65,$B$15:$B$65,$P$14),0)</f>
        <v>0.59730895034195663</v>
      </c>
      <c r="Q22" s="104"/>
      <c r="R22" s="99"/>
      <c r="S22" s="99"/>
      <c r="T22" s="99"/>
      <c r="U22" s="119"/>
      <c r="Z22" s="86">
        <v>46244</v>
      </c>
      <c r="AD22" s="86">
        <f t="shared" si="5"/>
        <v>46273</v>
      </c>
    </row>
    <row r="23" spans="2:30" ht="18" customHeight="1">
      <c r="B23" s="64">
        <v>46272</v>
      </c>
      <c r="C23" s="19" t="s">
        <v>13</v>
      </c>
      <c r="D23" s="19">
        <v>9.5</v>
      </c>
      <c r="E23" s="19">
        <v>0.5</v>
      </c>
      <c r="F23" s="19">
        <v>0.3</v>
      </c>
      <c r="G23" s="19">
        <v>88</v>
      </c>
      <c r="H23" s="19">
        <v>0</v>
      </c>
      <c r="I23" s="19">
        <v>15</v>
      </c>
      <c r="J23" s="24">
        <f t="shared" si="0"/>
        <v>0.96842105263157885</v>
      </c>
      <c r="K23" s="24">
        <f t="shared" si="1"/>
        <v>0.67432950191570884</v>
      </c>
      <c r="L23" s="24">
        <f t="shared" si="2"/>
        <v>1</v>
      </c>
      <c r="M23" s="24">
        <f t="shared" si="3"/>
        <v>0.65303488606573901</v>
      </c>
      <c r="N23" s="65">
        <f t="shared" si="4"/>
        <v>8.6999999999999993</v>
      </c>
      <c r="O23" s="37"/>
      <c r="P23" s="118" t="s">
        <v>49</v>
      </c>
      <c r="Q23" s="104"/>
      <c r="R23" s="99"/>
      <c r="S23" s="99"/>
      <c r="T23" s="99"/>
      <c r="U23" s="119"/>
      <c r="Z23" s="86">
        <v>46245</v>
      </c>
      <c r="AD23" s="86">
        <f t="shared" si="5"/>
        <v>46274</v>
      </c>
    </row>
    <row r="24" spans="2:30" ht="18" customHeight="1">
      <c r="B24" s="90">
        <v>46273</v>
      </c>
      <c r="C24" s="91" t="s">
        <v>2</v>
      </c>
      <c r="D24" s="26">
        <v>3</v>
      </c>
      <c r="E24" s="26">
        <v>0.5</v>
      </c>
      <c r="F24" s="26">
        <v>0.1</v>
      </c>
      <c r="G24" s="26">
        <v>10</v>
      </c>
      <c r="H24" s="26">
        <v>0</v>
      </c>
      <c r="I24" s="26">
        <v>10</v>
      </c>
      <c r="J24" s="24">
        <f t="shared" si="0"/>
        <v>0.96666666666666667</v>
      </c>
      <c r="K24" s="24">
        <f t="shared" si="1"/>
        <v>0.41666666666666669</v>
      </c>
      <c r="L24" s="24">
        <f t="shared" si="2"/>
        <v>1</v>
      </c>
      <c r="M24" s="24">
        <f t="shared" si="3"/>
        <v>0.40277777777777779</v>
      </c>
      <c r="N24" s="87">
        <f t="shared" si="4"/>
        <v>2.4</v>
      </c>
      <c r="O24" s="37"/>
      <c r="P24" s="79"/>
      <c r="Q24" s="84"/>
      <c r="R24" s="84"/>
      <c r="S24" s="84"/>
      <c r="T24" s="84"/>
      <c r="U24" s="85"/>
      <c r="Z24" s="86">
        <v>46246</v>
      </c>
      <c r="AD24" s="86">
        <f t="shared" si="5"/>
        <v>46275</v>
      </c>
    </row>
    <row r="25" spans="2:30" ht="18" customHeight="1">
      <c r="B25" s="64">
        <v>46273</v>
      </c>
      <c r="C25" s="19" t="s">
        <v>30</v>
      </c>
      <c r="D25" s="19">
        <v>7.5</v>
      </c>
      <c r="E25" s="19">
        <v>0.5</v>
      </c>
      <c r="F25" s="19">
        <v>0.1</v>
      </c>
      <c r="G25" s="19">
        <v>60</v>
      </c>
      <c r="H25" s="19">
        <v>0</v>
      </c>
      <c r="I25" s="19">
        <v>15</v>
      </c>
      <c r="J25" s="24">
        <f t="shared" si="0"/>
        <v>0.98666666666666669</v>
      </c>
      <c r="K25" s="24">
        <f t="shared" si="1"/>
        <v>0.57971014492753625</v>
      </c>
      <c r="L25" s="20">
        <f t="shared" si="2"/>
        <v>1</v>
      </c>
      <c r="M25" s="24">
        <f t="shared" si="3"/>
        <v>0.57198067632850247</v>
      </c>
      <c r="N25" s="87">
        <f t="shared" si="4"/>
        <v>6.9</v>
      </c>
      <c r="O25" s="37"/>
      <c r="P25" s="120" t="s">
        <v>46</v>
      </c>
      <c r="Q25" s="121"/>
      <c r="R25" s="120" t="s">
        <v>47</v>
      </c>
      <c r="S25" s="145"/>
      <c r="T25" s="145"/>
      <c r="U25" s="121"/>
      <c r="W25" s="53" t="s">
        <v>48</v>
      </c>
      <c r="Z25" s="86">
        <v>46247</v>
      </c>
      <c r="AD25" s="86">
        <f t="shared" si="5"/>
        <v>46276</v>
      </c>
    </row>
    <row r="26" spans="2:30" s="34" customFormat="1" ht="18" customHeight="1">
      <c r="B26" s="66">
        <v>46274</v>
      </c>
      <c r="C26" s="26" t="s">
        <v>14</v>
      </c>
      <c r="D26" s="26">
        <v>3</v>
      </c>
      <c r="E26" s="26">
        <v>0.5</v>
      </c>
      <c r="F26" s="26">
        <v>0</v>
      </c>
      <c r="G26" s="26">
        <v>25</v>
      </c>
      <c r="H26" s="26">
        <v>0</v>
      </c>
      <c r="I26" s="26">
        <v>15</v>
      </c>
      <c r="J26" s="24">
        <f t="shared" si="0"/>
        <v>1</v>
      </c>
      <c r="K26" s="41">
        <f t="shared" si="1"/>
        <v>0.66666666666666663</v>
      </c>
      <c r="L26" s="41">
        <f t="shared" si="2"/>
        <v>1</v>
      </c>
      <c r="M26" s="41">
        <f t="shared" si="3"/>
        <v>0.66666666666666663</v>
      </c>
      <c r="N26" s="87">
        <f t="shared" si="4"/>
        <v>2.5</v>
      </c>
      <c r="O26" s="37"/>
      <c r="P26" s="116" t="str">
        <f>IFERROR(INDEX($W$26:$W$30,MATCH(1,$Y$26:$Y$30,0)),"")</f>
        <v>CM1</v>
      </c>
      <c r="Q26" s="117"/>
      <c r="R26" s="147">
        <f>IFERROR(INDEX($X$26:$X$30,MATCH(1,$Y$26:$Y$30,0)),"")</f>
        <v>25</v>
      </c>
      <c r="S26" s="117"/>
      <c r="T26" s="117"/>
      <c r="U26" s="123"/>
      <c r="W26" s="54" t="str">
        <f>Q6</f>
        <v>CM1</v>
      </c>
      <c r="X26" s="54">
        <f>SUMIFS($G$15:$G$65,$C$15:$C$65,Q6,$B$15:$B$65,$P$14)</f>
        <v>25</v>
      </c>
      <c r="Y26" s="54">
        <f>IF(X26&gt;0, COUNTIF($X$26:X26,"&gt;0"), "")</f>
        <v>1</v>
      </c>
      <c r="Z26" s="86">
        <v>46248</v>
      </c>
      <c r="AD26" s="86">
        <f t="shared" si="5"/>
        <v>46277</v>
      </c>
    </row>
    <row r="27" spans="2:30" ht="18" customHeight="1">
      <c r="B27" s="64">
        <v>46274</v>
      </c>
      <c r="C27" s="19" t="s">
        <v>12</v>
      </c>
      <c r="D27" s="19">
        <v>5.3</v>
      </c>
      <c r="E27" s="19">
        <v>1</v>
      </c>
      <c r="F27" s="19">
        <v>0.2</v>
      </c>
      <c r="G27" s="19">
        <v>40</v>
      </c>
      <c r="H27" s="19">
        <v>0</v>
      </c>
      <c r="I27" s="19">
        <v>15</v>
      </c>
      <c r="J27" s="20">
        <f t="shared" si="0"/>
        <v>0.96226415094339623</v>
      </c>
      <c r="K27" s="20">
        <f t="shared" si="1"/>
        <v>0.65040650406504075</v>
      </c>
      <c r="L27" s="20">
        <f t="shared" si="2"/>
        <v>1</v>
      </c>
      <c r="M27" s="20">
        <f t="shared" si="3"/>
        <v>0.62586286240220901</v>
      </c>
      <c r="N27" s="87">
        <f t="shared" si="4"/>
        <v>4.0999999999999996</v>
      </c>
      <c r="O27" s="37"/>
      <c r="P27" s="116" t="str">
        <f>IFERROR(INDEX($W$26:$W$30,MATCH(2,$Y$26:$Y$30,0)),"")</f>
        <v>DG3</v>
      </c>
      <c r="Q27" s="117"/>
      <c r="R27" s="147">
        <f>IFERROR(INDEX($X$26:$X$30,MATCH(2,$Y$26:$Y$30,0)),"")</f>
        <v>47.5</v>
      </c>
      <c r="S27" s="117"/>
      <c r="T27" s="117"/>
      <c r="U27" s="123"/>
      <c r="W27" s="54" t="str">
        <f>Q7</f>
        <v>CG25</v>
      </c>
      <c r="X27" s="54">
        <f>SUMIFS($G$15:$G$65,$C$15:$C$65,Q7,$B$15:$B$65,$P$14)</f>
        <v>0</v>
      </c>
      <c r="Y27" s="54" t="str">
        <f>IF(X27&gt;0, COUNTIF($X$26:X27,"&gt;0"), "")</f>
        <v/>
      </c>
      <c r="Z27" s="86">
        <v>46249</v>
      </c>
      <c r="AD27" s="86">
        <f t="shared" si="5"/>
        <v>46278</v>
      </c>
    </row>
    <row r="28" spans="2:30" ht="18" customHeight="1">
      <c r="B28" s="90">
        <v>46275</v>
      </c>
      <c r="C28" s="91" t="s">
        <v>12</v>
      </c>
      <c r="D28" s="26">
        <v>9.5</v>
      </c>
      <c r="E28" s="26">
        <v>0.5</v>
      </c>
      <c r="F28" s="26">
        <v>0.5</v>
      </c>
      <c r="G28" s="26">
        <v>76.5</v>
      </c>
      <c r="H28" s="26">
        <v>0</v>
      </c>
      <c r="I28" s="91">
        <v>15</v>
      </c>
      <c r="J28" s="41">
        <f t="shared" si="0"/>
        <v>0.94736842105263153</v>
      </c>
      <c r="K28" s="41">
        <f t="shared" si="1"/>
        <v>0.6</v>
      </c>
      <c r="L28" s="20">
        <f t="shared" si="2"/>
        <v>1</v>
      </c>
      <c r="M28" s="20">
        <f t="shared" si="3"/>
        <v>0.56842105263157894</v>
      </c>
      <c r="N28" s="87">
        <f t="shared" si="4"/>
        <v>8.5</v>
      </c>
      <c r="O28" s="37"/>
      <c r="P28" s="116" t="str">
        <f>IFERROR(INDEX($W$26:$W$30,MATCH(3,$Y$26:$Y$30,0)),"")</f>
        <v/>
      </c>
      <c r="Q28" s="117"/>
      <c r="R28" s="122" t="str">
        <f>IFERROR(INDEX($X$26:$X$30,MATCH(3,$Y$26:$Y$30,0)),"")</f>
        <v/>
      </c>
      <c r="S28" s="117"/>
      <c r="T28" s="117"/>
      <c r="U28" s="123"/>
      <c r="W28" s="54" t="str">
        <f>Q8</f>
        <v>CG3</v>
      </c>
      <c r="X28" s="54">
        <f>SUMIFS($G$15:$G$65,$C$15:$C$65,Q8,$B$15:$B$65,$P$14)</f>
        <v>0</v>
      </c>
      <c r="Y28" s="54" t="str">
        <f>IF(X28&gt;0, COUNTIF($X$26:X28,"&gt;0"), "")</f>
        <v/>
      </c>
      <c r="Z28" s="86">
        <v>46251</v>
      </c>
      <c r="AD28" s="86">
        <f t="shared" si="5"/>
        <v>46279</v>
      </c>
    </row>
    <row r="29" spans="2:30" ht="18" customHeight="1">
      <c r="B29" s="64">
        <v>46276</v>
      </c>
      <c r="C29" s="19" t="s">
        <v>2</v>
      </c>
      <c r="D29" s="19">
        <v>4.3</v>
      </c>
      <c r="E29" s="19">
        <v>0.5</v>
      </c>
      <c r="F29" s="19">
        <v>0</v>
      </c>
      <c r="G29" s="19">
        <v>25</v>
      </c>
      <c r="H29" s="19">
        <v>0</v>
      </c>
      <c r="I29" s="19">
        <v>10</v>
      </c>
      <c r="J29" s="20">
        <f t="shared" si="0"/>
        <v>1</v>
      </c>
      <c r="K29" s="41">
        <f t="shared" si="1"/>
        <v>0.65789473684210531</v>
      </c>
      <c r="L29" s="20">
        <f t="shared" si="2"/>
        <v>1</v>
      </c>
      <c r="M29" s="20">
        <f t="shared" si="3"/>
        <v>0.65789473684210531</v>
      </c>
      <c r="N29" s="87">
        <f t="shared" si="4"/>
        <v>3.8</v>
      </c>
      <c r="O29" s="37"/>
      <c r="P29" s="116" t="str">
        <f>IFERROR(INDEX($W$26:$W$30,MATCH(4,$Y$26:$Y$30,0)),"")</f>
        <v/>
      </c>
      <c r="Q29" s="117"/>
      <c r="R29" s="122" t="str">
        <f>IFERROR(INDEX($X$26:$X$30,MATCH(4,$Y$26:$Y$30,0)),"")</f>
        <v/>
      </c>
      <c r="S29" s="117"/>
      <c r="T29" s="117"/>
      <c r="U29" s="123"/>
      <c r="W29" s="54" t="str">
        <f>Q9</f>
        <v>DG4</v>
      </c>
      <c r="X29" s="54">
        <f>SUMIFS($G$15:$G$65,$C$15:$C$65,Q9,$B$15:$B$65,$P$14)</f>
        <v>0</v>
      </c>
      <c r="Y29" s="54" t="str">
        <f>IF(X29&gt;0, COUNTIF($X$26:X29,"&gt;0"), "")</f>
        <v/>
      </c>
      <c r="Z29" s="86">
        <v>46252</v>
      </c>
      <c r="AD29" s="86">
        <f t="shared" si="5"/>
        <v>46280</v>
      </c>
    </row>
    <row r="30" spans="2:30" s="34" customFormat="1" ht="18" customHeight="1">
      <c r="B30" s="66">
        <v>46276</v>
      </c>
      <c r="C30" s="26" t="s">
        <v>30</v>
      </c>
      <c r="D30" s="26">
        <v>6.1</v>
      </c>
      <c r="E30" s="26">
        <v>0.2</v>
      </c>
      <c r="F30" s="26">
        <v>0</v>
      </c>
      <c r="G30" s="26">
        <v>47.5</v>
      </c>
      <c r="H30" s="26">
        <v>0</v>
      </c>
      <c r="I30" s="26">
        <v>15</v>
      </c>
      <c r="J30" s="20">
        <f t="shared" si="0"/>
        <v>1</v>
      </c>
      <c r="K30" s="41">
        <f t="shared" si="1"/>
        <v>0.53672316384180796</v>
      </c>
      <c r="L30" s="41">
        <f t="shared" si="2"/>
        <v>1</v>
      </c>
      <c r="M30" s="20">
        <f t="shared" si="3"/>
        <v>0.53672316384180796</v>
      </c>
      <c r="N30" s="87">
        <f t="shared" si="4"/>
        <v>5.8999999999999995</v>
      </c>
      <c r="O30" s="37"/>
      <c r="P30" s="148" t="str">
        <f>IFERROR(INDEX($W$26:$W$30,MATCH(5,$Y$26:$Y$30,0)),"")</f>
        <v/>
      </c>
      <c r="Q30" s="143"/>
      <c r="R30" s="142" t="str">
        <f>IFERROR(INDEX($X$26:$X$30,MATCH(5,$Y$26:$Y$30,0)),"")</f>
        <v/>
      </c>
      <c r="S30" s="143"/>
      <c r="T30" s="143"/>
      <c r="U30" s="144"/>
      <c r="W30" s="54" t="str">
        <f>Q10</f>
        <v>DG3</v>
      </c>
      <c r="X30" s="54">
        <f>SUMIFS($G$15:$G$65,$C$15:$C$65,Q10,$B$15:$B$65,$P$14)</f>
        <v>47.5</v>
      </c>
      <c r="Y30" s="54">
        <f>IF(X30&gt;0, COUNTIF($X$26:X30,"&gt;0"), "")</f>
        <v>2</v>
      </c>
      <c r="Z30" s="86">
        <v>46253</v>
      </c>
      <c r="AD30" s="86">
        <f t="shared" si="5"/>
        <v>46281</v>
      </c>
    </row>
    <row r="31" spans="2:30" ht="20.100000000000001" customHeight="1">
      <c r="B31" s="64"/>
      <c r="C31" s="19"/>
      <c r="D31" s="19"/>
      <c r="E31" s="19"/>
      <c r="F31" s="19"/>
      <c r="G31" s="19"/>
      <c r="H31" s="19"/>
      <c r="I31" s="19"/>
      <c r="J31" s="20"/>
      <c r="K31" s="20"/>
      <c r="L31" s="20"/>
      <c r="M31" s="20"/>
      <c r="N31" s="87" t="str">
        <f t="shared" si="4"/>
        <v/>
      </c>
      <c r="O31" s="37"/>
      <c r="P31" s="45"/>
      <c r="Z31" s="86">
        <v>46254</v>
      </c>
      <c r="AD31" s="86">
        <f t="shared" si="5"/>
        <v>46282</v>
      </c>
    </row>
    <row r="32" spans="2:30" ht="20.100000000000001" customHeight="1">
      <c r="B32" s="66"/>
      <c r="C32" s="26"/>
      <c r="D32" s="26"/>
      <c r="E32" s="26"/>
      <c r="F32" s="26"/>
      <c r="G32" s="26"/>
      <c r="H32" s="26"/>
      <c r="I32" s="26"/>
      <c r="J32" s="41"/>
      <c r="K32" s="41"/>
      <c r="L32" s="41"/>
      <c r="M32" s="41"/>
      <c r="N32" s="87"/>
      <c r="O32" s="37"/>
      <c r="P32" s="45"/>
      <c r="Z32" s="86">
        <v>46255</v>
      </c>
      <c r="AD32" s="86">
        <f t="shared" si="5"/>
        <v>46283</v>
      </c>
    </row>
    <row r="33" spans="2:30" s="34" customFormat="1" ht="20.100000000000001" customHeight="1">
      <c r="B33" s="64"/>
      <c r="C33" s="19"/>
      <c r="D33" s="19"/>
      <c r="E33" s="19"/>
      <c r="F33" s="19"/>
      <c r="G33" s="19"/>
      <c r="H33" s="19"/>
      <c r="I33" s="19"/>
      <c r="J33" s="20"/>
      <c r="K33" s="20"/>
      <c r="L33" s="20"/>
      <c r="M33" s="20"/>
      <c r="N33" s="65"/>
      <c r="O33" s="37"/>
      <c r="P33" s="45"/>
      <c r="Q33" s="43"/>
      <c r="Z33" s="86">
        <v>46256</v>
      </c>
      <c r="AD33" s="86">
        <f t="shared" si="5"/>
        <v>46284</v>
      </c>
    </row>
    <row r="34" spans="2:30" ht="20.100000000000001" customHeight="1">
      <c r="B34" s="66"/>
      <c r="C34" s="26"/>
      <c r="D34" s="26"/>
      <c r="E34" s="26"/>
      <c r="F34" s="26"/>
      <c r="G34" s="26"/>
      <c r="H34" s="26"/>
      <c r="I34" s="26"/>
      <c r="J34" s="41"/>
      <c r="K34" s="41"/>
      <c r="L34" s="41"/>
      <c r="M34" s="41"/>
      <c r="N34" s="87"/>
      <c r="O34" s="37"/>
      <c r="P34" s="45"/>
      <c r="Z34" s="86">
        <v>46258</v>
      </c>
      <c r="AD34" s="86">
        <f t="shared" si="5"/>
        <v>46285</v>
      </c>
    </row>
    <row r="35" spans="2:30" ht="20.100000000000001" customHeight="1">
      <c r="B35" s="93"/>
      <c r="C35" s="89"/>
      <c r="D35" s="19"/>
      <c r="E35" s="19"/>
      <c r="F35" s="19"/>
      <c r="G35" s="19"/>
      <c r="H35" s="19"/>
      <c r="I35" s="89"/>
      <c r="J35" s="94"/>
      <c r="K35" s="20"/>
      <c r="L35" s="20"/>
      <c r="M35" s="20"/>
      <c r="N35" s="65"/>
      <c r="O35" s="37"/>
      <c r="P35" s="45"/>
      <c r="Z35" s="86">
        <v>46259</v>
      </c>
      <c r="AD35" s="86">
        <f t="shared" si="5"/>
        <v>46286</v>
      </c>
    </row>
    <row r="36" spans="2:30" ht="20.100000000000001" customHeight="1">
      <c r="B36" s="66"/>
      <c r="C36" s="26"/>
      <c r="D36" s="91"/>
      <c r="E36" s="26"/>
      <c r="F36" s="26"/>
      <c r="G36" s="26"/>
      <c r="H36" s="26"/>
      <c r="I36" s="26"/>
      <c r="J36" s="92"/>
      <c r="K36" s="41"/>
      <c r="L36" s="41"/>
      <c r="M36" s="41"/>
      <c r="N36" s="87"/>
      <c r="O36" s="37"/>
      <c r="P36" s="45"/>
      <c r="Z36" s="86">
        <v>46260</v>
      </c>
      <c r="AD36" s="86">
        <f t="shared" si="5"/>
        <v>46287</v>
      </c>
    </row>
    <row r="37" spans="2:30" ht="20.100000000000001" customHeight="1">
      <c r="B37" s="64"/>
      <c r="C37" s="19"/>
      <c r="D37" s="19"/>
      <c r="E37" s="19"/>
      <c r="F37" s="19"/>
      <c r="G37" s="19"/>
      <c r="H37" s="19"/>
      <c r="I37" s="19"/>
      <c r="J37" s="20"/>
      <c r="K37" s="20"/>
      <c r="L37" s="20"/>
      <c r="M37" s="20"/>
      <c r="N37" s="65"/>
      <c r="O37" s="37"/>
      <c r="P37" s="45"/>
      <c r="Z37" s="86">
        <v>46261</v>
      </c>
      <c r="AD37" s="86">
        <f t="shared" si="5"/>
        <v>46288</v>
      </c>
    </row>
    <row r="38" spans="2:30" ht="20.100000000000001" customHeight="1">
      <c r="B38" s="66"/>
      <c r="C38" s="26"/>
      <c r="D38" s="26"/>
      <c r="E38" s="26"/>
      <c r="F38" s="26"/>
      <c r="G38" s="26"/>
      <c r="H38" s="26"/>
      <c r="I38" s="26"/>
      <c r="J38" s="41"/>
      <c r="K38" s="41"/>
      <c r="L38" s="41"/>
      <c r="M38" s="41"/>
      <c r="N38" s="87"/>
      <c r="O38" s="44"/>
      <c r="P38" s="45"/>
      <c r="AD38" s="86">
        <f t="shared" si="5"/>
        <v>46289</v>
      </c>
    </row>
    <row r="39" spans="2:30" ht="20.100000000000001" customHeight="1">
      <c r="B39" s="93"/>
      <c r="C39" s="89"/>
      <c r="D39" s="19"/>
      <c r="E39" s="19"/>
      <c r="F39" s="19"/>
      <c r="G39" s="19"/>
      <c r="H39" s="19"/>
      <c r="I39" s="89"/>
      <c r="J39" s="20"/>
      <c r="K39" s="20"/>
      <c r="L39" s="20"/>
      <c r="M39" s="20"/>
      <c r="N39" s="65"/>
      <c r="O39" s="44"/>
      <c r="P39" s="45"/>
      <c r="AD39" s="86">
        <f t="shared" si="5"/>
        <v>46290</v>
      </c>
    </row>
    <row r="40" spans="2:30" ht="20.100000000000001" customHeight="1">
      <c r="B40" s="66"/>
      <c r="C40" s="26"/>
      <c r="D40" s="26"/>
      <c r="E40" s="26"/>
      <c r="F40" s="26"/>
      <c r="G40" s="26"/>
      <c r="H40" s="26"/>
      <c r="I40" s="26"/>
      <c r="J40" s="41"/>
      <c r="K40" s="41"/>
      <c r="L40" s="41"/>
      <c r="M40" s="41"/>
      <c r="N40" s="87"/>
      <c r="O40" s="37"/>
      <c r="P40" s="45"/>
      <c r="AD40" s="86">
        <f t="shared" si="5"/>
        <v>46291</v>
      </c>
    </row>
    <row r="41" spans="2:30" ht="20.100000000000001" customHeight="1">
      <c r="B41" s="93"/>
      <c r="C41" s="89"/>
      <c r="D41" s="19"/>
      <c r="E41" s="19"/>
      <c r="F41" s="19"/>
      <c r="G41" s="19"/>
      <c r="H41" s="19"/>
      <c r="I41" s="89"/>
      <c r="J41" s="94"/>
      <c r="K41" s="94"/>
      <c r="L41" s="20"/>
      <c r="M41" s="94"/>
      <c r="N41" s="65"/>
      <c r="O41" s="37"/>
      <c r="P41" s="45"/>
      <c r="AD41" s="86">
        <f t="shared" si="5"/>
        <v>46292</v>
      </c>
    </row>
    <row r="42" spans="2:30" ht="20.100000000000001" customHeight="1">
      <c r="B42" s="66"/>
      <c r="C42" s="26"/>
      <c r="D42" s="26"/>
      <c r="E42" s="26"/>
      <c r="F42" s="26"/>
      <c r="G42" s="26"/>
      <c r="H42" s="26"/>
      <c r="I42" s="26"/>
      <c r="J42" s="92"/>
      <c r="K42" s="92"/>
      <c r="L42" s="41"/>
      <c r="M42" s="92"/>
      <c r="N42" s="87"/>
      <c r="O42" s="37"/>
      <c r="P42" s="45"/>
      <c r="AD42" s="86">
        <f t="shared" si="5"/>
        <v>46293</v>
      </c>
    </row>
    <row r="43" spans="2:30" ht="20.100000000000001" customHeight="1">
      <c r="B43" s="64"/>
      <c r="C43" s="89"/>
      <c r="D43" s="19"/>
      <c r="E43" s="19"/>
      <c r="F43" s="19"/>
      <c r="G43" s="19"/>
      <c r="H43" s="19"/>
      <c r="I43" s="89"/>
      <c r="J43" s="94"/>
      <c r="K43" s="94"/>
      <c r="L43" s="20"/>
      <c r="M43" s="94"/>
      <c r="N43" s="65"/>
      <c r="O43" s="37"/>
      <c r="P43" s="45"/>
      <c r="AD43" s="86">
        <f t="shared" si="5"/>
        <v>46294</v>
      </c>
    </row>
    <row r="44" spans="2:30" ht="20.100000000000001" customHeight="1">
      <c r="B44" s="66"/>
      <c r="C44" s="91"/>
      <c r="D44" s="26"/>
      <c r="E44" s="26"/>
      <c r="F44" s="26"/>
      <c r="G44" s="26"/>
      <c r="H44" s="26"/>
      <c r="I44" s="91"/>
      <c r="J44" s="92"/>
      <c r="K44" s="92"/>
      <c r="L44" s="41"/>
      <c r="M44" s="92"/>
      <c r="N44" s="87"/>
      <c r="P44" s="45"/>
      <c r="AD44" s="86">
        <f t="shared" si="5"/>
        <v>46295</v>
      </c>
    </row>
    <row r="45" spans="2:30" ht="20.100000000000001" customHeight="1">
      <c r="B45" s="64"/>
      <c r="C45" s="89"/>
      <c r="D45" s="19"/>
      <c r="E45" s="19"/>
      <c r="F45" s="19"/>
      <c r="G45" s="19"/>
      <c r="H45" s="19"/>
      <c r="I45" s="89"/>
      <c r="J45" s="94"/>
      <c r="K45" s="94"/>
      <c r="L45" s="20"/>
      <c r="M45" s="94"/>
      <c r="N45" s="65"/>
      <c r="P45" s="45"/>
    </row>
    <row r="46" spans="2:30" ht="20.100000000000001" customHeight="1">
      <c r="B46" s="66"/>
      <c r="C46" s="91"/>
      <c r="D46" s="26"/>
      <c r="E46" s="26"/>
      <c r="F46" s="26"/>
      <c r="G46" s="26"/>
      <c r="H46" s="26"/>
      <c r="I46" s="91"/>
      <c r="J46" s="92"/>
      <c r="K46" s="92"/>
      <c r="L46" s="41"/>
      <c r="M46" s="92"/>
      <c r="N46" s="87"/>
      <c r="P46" s="45"/>
    </row>
    <row r="47" spans="2:30" ht="20.100000000000001" customHeight="1">
      <c r="B47" s="64"/>
      <c r="C47" s="89"/>
      <c r="D47" s="19"/>
      <c r="E47" s="19"/>
      <c r="F47" s="19"/>
      <c r="G47" s="19"/>
      <c r="H47" s="19"/>
      <c r="I47" s="89"/>
      <c r="J47" s="94"/>
      <c r="K47" s="94"/>
      <c r="L47" s="20"/>
      <c r="M47" s="94"/>
      <c r="N47" s="65"/>
    </row>
    <row r="48" spans="2:30" ht="20.100000000000001" customHeight="1">
      <c r="B48" s="66"/>
      <c r="C48" s="91"/>
      <c r="D48" s="26"/>
      <c r="E48" s="26"/>
      <c r="F48" s="26"/>
      <c r="G48" s="26"/>
      <c r="H48" s="26"/>
      <c r="I48" s="91"/>
      <c r="J48" s="92"/>
      <c r="K48" s="92"/>
      <c r="L48" s="92"/>
      <c r="M48" s="92"/>
      <c r="N48" s="87"/>
    </row>
    <row r="49" spans="2:14" ht="20.100000000000001" customHeight="1">
      <c r="B49" s="64"/>
      <c r="C49" s="89"/>
      <c r="D49" s="19"/>
      <c r="E49" s="19"/>
      <c r="F49" s="19"/>
      <c r="G49" s="19"/>
      <c r="H49" s="19"/>
      <c r="I49" s="89"/>
      <c r="J49" s="94"/>
      <c r="K49" s="94"/>
      <c r="L49" s="94"/>
      <c r="M49" s="94"/>
      <c r="N49" s="65"/>
    </row>
    <row r="50" spans="2:14" ht="20.100000000000001" customHeight="1">
      <c r="B50" s="66"/>
      <c r="C50" s="91"/>
      <c r="D50" s="26"/>
      <c r="E50" s="26"/>
      <c r="F50" s="26"/>
      <c r="G50" s="26"/>
      <c r="H50" s="26"/>
      <c r="I50" s="91"/>
      <c r="J50" s="92"/>
      <c r="K50" s="92"/>
      <c r="L50" s="92"/>
      <c r="M50" s="92"/>
      <c r="N50" s="87"/>
    </row>
    <row r="51" spans="2:14" ht="20.100000000000001" customHeight="1">
      <c r="B51" s="64"/>
      <c r="C51" s="89"/>
      <c r="D51" s="19"/>
      <c r="E51" s="19"/>
      <c r="F51" s="19"/>
      <c r="G51" s="19"/>
      <c r="H51" s="19"/>
      <c r="I51" s="89"/>
      <c r="J51" s="94"/>
      <c r="K51" s="94"/>
      <c r="L51" s="94"/>
      <c r="M51" s="94"/>
      <c r="N51" s="65"/>
    </row>
    <row r="52" spans="2:14" ht="20.100000000000001" customHeight="1">
      <c r="B52" s="66"/>
      <c r="C52" s="91"/>
      <c r="D52" s="26"/>
      <c r="E52" s="26"/>
      <c r="F52" s="26"/>
      <c r="G52" s="26"/>
      <c r="H52" s="26"/>
      <c r="I52" s="91"/>
      <c r="J52" s="92"/>
      <c r="K52" s="92"/>
      <c r="L52" s="92"/>
      <c r="M52" s="92"/>
      <c r="N52" s="87"/>
    </row>
    <row r="53" spans="2:14" ht="20.100000000000001" customHeight="1">
      <c r="B53" s="64"/>
      <c r="C53" s="89"/>
      <c r="D53" s="19"/>
      <c r="E53" s="19"/>
      <c r="F53" s="19"/>
      <c r="G53" s="19"/>
      <c r="H53" s="19"/>
      <c r="I53" s="89"/>
      <c r="J53" s="94"/>
      <c r="K53" s="94"/>
      <c r="L53" s="94"/>
      <c r="M53" s="94"/>
      <c r="N53" s="65"/>
    </row>
    <row r="54" spans="2:14" ht="20.100000000000001" customHeight="1">
      <c r="B54" s="66"/>
      <c r="C54" s="91"/>
      <c r="D54" s="26"/>
      <c r="E54" s="26"/>
      <c r="F54" s="26"/>
      <c r="G54" s="26"/>
      <c r="H54" s="26"/>
      <c r="I54" s="91"/>
      <c r="J54" s="92"/>
      <c r="K54" s="92"/>
      <c r="L54" s="92"/>
      <c r="M54" s="92"/>
      <c r="N54" s="87"/>
    </row>
    <row r="55" spans="2:14" ht="20.100000000000001" customHeight="1">
      <c r="B55" s="64"/>
      <c r="C55" s="89"/>
      <c r="D55" s="19"/>
      <c r="E55" s="19"/>
      <c r="F55" s="19"/>
      <c r="G55" s="19"/>
      <c r="H55" s="19"/>
      <c r="I55" s="89"/>
      <c r="J55" s="94"/>
      <c r="K55" s="94"/>
      <c r="L55" s="94"/>
      <c r="M55" s="94"/>
      <c r="N55" s="65"/>
    </row>
    <row r="56" spans="2:14" ht="20.100000000000001" customHeight="1">
      <c r="B56" s="66"/>
      <c r="C56" s="91"/>
      <c r="D56" s="26"/>
      <c r="E56" s="26"/>
      <c r="F56" s="26"/>
      <c r="G56" s="26"/>
      <c r="H56" s="26"/>
      <c r="I56" s="91"/>
      <c r="J56" s="92"/>
      <c r="K56" s="92"/>
      <c r="L56" s="92"/>
      <c r="M56" s="92"/>
      <c r="N56" s="87"/>
    </row>
    <row r="57" spans="2:14" ht="20.100000000000001" customHeight="1">
      <c r="B57" s="66"/>
      <c r="C57" s="89"/>
      <c r="D57" s="19"/>
      <c r="E57" s="19"/>
      <c r="F57" s="19"/>
      <c r="G57" s="19"/>
      <c r="H57" s="19"/>
      <c r="I57" s="89"/>
      <c r="J57" s="94"/>
      <c r="K57" s="94"/>
      <c r="L57" s="94"/>
      <c r="M57" s="94"/>
      <c r="N57" s="65"/>
    </row>
    <row r="58" spans="2:14" ht="20.100000000000001" customHeight="1">
      <c r="B58" s="66"/>
      <c r="C58" s="91"/>
      <c r="D58" s="26"/>
      <c r="E58" s="26"/>
      <c r="F58" s="26"/>
      <c r="G58" s="26"/>
      <c r="H58" s="26"/>
      <c r="I58" s="91"/>
      <c r="J58" s="92"/>
      <c r="K58" s="92"/>
      <c r="L58" s="92"/>
      <c r="M58" s="92"/>
      <c r="N58" s="87"/>
    </row>
    <row r="59" spans="2:14" ht="20.100000000000001" customHeight="1">
      <c r="B59" s="64"/>
      <c r="C59" s="89"/>
      <c r="D59" s="19"/>
      <c r="E59" s="19"/>
      <c r="F59" s="19"/>
      <c r="G59" s="19"/>
      <c r="H59" s="19"/>
      <c r="I59" s="89"/>
      <c r="J59" s="94"/>
      <c r="K59" s="94"/>
      <c r="L59" s="94"/>
      <c r="M59" s="94"/>
      <c r="N59" s="65" t="str">
        <f t="shared" ref="N59:N65" si="6">IF(D59&gt;0, D59-E59-F59, "")</f>
        <v/>
      </c>
    </row>
    <row r="60" spans="2:14" ht="20.100000000000001" customHeight="1">
      <c r="B60" s="66"/>
      <c r="C60" s="91"/>
      <c r="D60" s="26"/>
      <c r="E60" s="26"/>
      <c r="F60" s="26"/>
      <c r="G60" s="26"/>
      <c r="H60" s="26"/>
      <c r="I60" s="91"/>
      <c r="J60" s="92"/>
      <c r="K60" s="92"/>
      <c r="L60" s="92"/>
      <c r="M60" s="92"/>
      <c r="N60" s="87" t="str">
        <f t="shared" si="6"/>
        <v/>
      </c>
    </row>
    <row r="61" spans="2:14" ht="20.100000000000001" customHeight="1">
      <c r="B61" s="64"/>
      <c r="C61" s="89"/>
      <c r="D61" s="19"/>
      <c r="E61" s="19"/>
      <c r="F61" s="19"/>
      <c r="G61" s="19"/>
      <c r="H61" s="19"/>
      <c r="I61" s="89"/>
      <c r="J61" s="94"/>
      <c r="K61" s="94"/>
      <c r="L61" s="94"/>
      <c r="M61" s="94"/>
      <c r="N61" s="65" t="str">
        <f t="shared" si="6"/>
        <v/>
      </c>
    </row>
    <row r="62" spans="2:14" ht="20.100000000000001" customHeight="1">
      <c r="B62" s="66"/>
      <c r="C62" s="91"/>
      <c r="D62" s="26"/>
      <c r="E62" s="26"/>
      <c r="F62" s="26"/>
      <c r="G62" s="26"/>
      <c r="H62" s="91"/>
      <c r="I62" s="91"/>
      <c r="J62" s="92"/>
      <c r="K62" s="92"/>
      <c r="L62" s="92"/>
      <c r="M62" s="92"/>
      <c r="N62" s="87" t="str">
        <f t="shared" si="6"/>
        <v/>
      </c>
    </row>
    <row r="63" spans="2:14" ht="20.100000000000001" customHeight="1">
      <c r="B63" s="64"/>
      <c r="C63" s="89"/>
      <c r="D63" s="19"/>
      <c r="E63" s="19"/>
      <c r="F63" s="19"/>
      <c r="G63" s="19"/>
      <c r="H63" s="89"/>
      <c r="I63" s="89"/>
      <c r="J63" s="94"/>
      <c r="K63" s="94"/>
      <c r="L63" s="94"/>
      <c r="M63" s="94"/>
      <c r="N63" s="65" t="str">
        <f t="shared" si="6"/>
        <v/>
      </c>
    </row>
    <row r="64" spans="2:14" ht="15" customHeight="1">
      <c r="B64" s="64"/>
      <c r="C64" s="23"/>
      <c r="D64" s="26"/>
      <c r="E64" s="26"/>
      <c r="F64" s="26"/>
      <c r="G64" s="19"/>
      <c r="H64" s="23"/>
      <c r="I64" s="23"/>
      <c r="J64" s="24"/>
      <c r="K64" s="24"/>
      <c r="L64" s="24"/>
      <c r="M64" s="24"/>
      <c r="N64" s="65" t="str">
        <f t="shared" si="6"/>
        <v/>
      </c>
    </row>
    <row r="65" spans="2:17" ht="15" customHeight="1">
      <c r="B65" s="64"/>
      <c r="C65" s="23"/>
      <c r="D65" s="26"/>
      <c r="E65" s="26"/>
      <c r="F65" s="26"/>
      <c r="G65" s="19"/>
      <c r="H65" s="23"/>
      <c r="I65" s="23"/>
      <c r="J65" s="24"/>
      <c r="K65" s="24"/>
      <c r="L65" s="24"/>
      <c r="M65" s="24"/>
      <c r="N65" s="65" t="str">
        <f t="shared" si="6"/>
        <v/>
      </c>
    </row>
    <row r="66" spans="2:17">
      <c r="B66" s="60"/>
      <c r="N66" s="56"/>
    </row>
    <row r="67" spans="2:17">
      <c r="B67" s="61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9"/>
      <c r="P67" t="s">
        <v>50</v>
      </c>
    </row>
    <row r="70" spans="2:17" ht="15" hidden="1" customHeight="1">
      <c r="P70">
        <f>SUMIFS($G$15:$G$65,$C$15:$C$65,Q6,$B$15:$B$65,$P$14)</f>
        <v>25</v>
      </c>
      <c r="Q70">
        <f>IF(P70&gt;0,SUMPRODUCT(($P$70:P70&gt;0)*1),"")</f>
        <v>1</v>
      </c>
    </row>
    <row r="71" spans="2:17" ht="15" hidden="1" customHeight="1">
      <c r="P71">
        <f>SUMIFS($G$15:$G$65,$C$15:$C$65,Q7,$B$15:$B$65,$P$14)</f>
        <v>0</v>
      </c>
      <c r="Q71" t="str">
        <f>IF(P71&gt;0,SUMPRODUCT(($P$70:P71&gt;0)*1),"")</f>
        <v/>
      </c>
    </row>
    <row r="72" spans="2:17" ht="15" hidden="1" customHeight="1">
      <c r="P72">
        <f>SUMIFS($G$15:$G$65,$C$15:$C$65,Q8,$B$15:$B$65,$P$14)</f>
        <v>0</v>
      </c>
      <c r="Q72" t="str">
        <f>IF(P72&gt;0,SUMPRODUCT(($P$70:P72&gt;0)*1),"")</f>
        <v/>
      </c>
    </row>
    <row r="73" spans="2:17" ht="15" hidden="1" customHeight="1">
      <c r="P73">
        <f>SUMIFS($G$15:$G$65,$C$15:$C$65,Q9,$B$15:$B$65,$P$14)</f>
        <v>0</v>
      </c>
      <c r="Q73" t="str">
        <f>IF(P73&gt;0,SUMPRODUCT(($P$70:P73&gt;0)*1),"")</f>
        <v/>
      </c>
    </row>
    <row r="74" spans="2:17" ht="15" hidden="1" customHeight="1">
      <c r="P74">
        <f>SUMIFS($G$15:$G$65,$C$15:$C$65,Q10,$B$15:$B$65,$P$14)</f>
        <v>47.5</v>
      </c>
      <c r="Q74">
        <f>IF(P74&gt;0,SUMPRODUCT(($P$70:P74&gt;0)*1),"")</f>
        <v>2</v>
      </c>
    </row>
  </sheetData>
  <mergeCells count="29">
    <mergeCell ref="P11:U12"/>
    <mergeCell ref="B3:N4"/>
    <mergeCell ref="P3:U4"/>
    <mergeCell ref="V3:Z3"/>
    <mergeCell ref="M6:N6"/>
    <mergeCell ref="M7:N7"/>
    <mergeCell ref="P25:Q25"/>
    <mergeCell ref="R25:U25"/>
    <mergeCell ref="B13:N13"/>
    <mergeCell ref="P13:U13"/>
    <mergeCell ref="P14:U14"/>
    <mergeCell ref="P16:U16"/>
    <mergeCell ref="P17:U17"/>
    <mergeCell ref="P18:U18"/>
    <mergeCell ref="P19:U19"/>
    <mergeCell ref="P20:U20"/>
    <mergeCell ref="P21:U21"/>
    <mergeCell ref="P22:U22"/>
    <mergeCell ref="P23:U23"/>
    <mergeCell ref="P29:Q29"/>
    <mergeCell ref="R29:U29"/>
    <mergeCell ref="P30:Q30"/>
    <mergeCell ref="R30:U30"/>
    <mergeCell ref="P26:Q26"/>
    <mergeCell ref="R26:U26"/>
    <mergeCell ref="P27:Q27"/>
    <mergeCell ref="R27:U27"/>
    <mergeCell ref="P28:Q28"/>
    <mergeCell ref="R28:U28"/>
  </mergeCells>
  <dataValidations xWindow="1089" yWindow="553" count="1">
    <dataValidation type="list" allowBlank="1" showInputMessage="1" showErrorMessage="1" promptTitle="Jour sélectionné" prompt="Choisissez un jour de septembre 2026 dans la liste." sqref="P14" xr:uid="{D1899478-C7DD-44F2-B1E9-59D438DC6CA9}">
      <formula1>$AD$15:$AD$44</formula1>
    </dataValidation>
  </dataValidations>
  <pageMargins left="0.75" right="0.75" top="1" bottom="1" header="0.511811023622047" footer="0.511811023622047"/>
  <pageSetup paperSize="9" scale="5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6</vt:i4>
      </vt:variant>
      <vt:variant>
        <vt:lpstr>Plages nommées</vt:lpstr>
      </vt:variant>
      <vt:variant>
        <vt:i4>2</vt:i4>
      </vt:variant>
    </vt:vector>
  </HeadingPairs>
  <TitlesOfParts>
    <vt:vector size="8" baseType="lpstr">
      <vt:lpstr>Avril 2026</vt:lpstr>
      <vt:lpstr>Mai 2026</vt:lpstr>
      <vt:lpstr>juin 2026 </vt:lpstr>
      <vt:lpstr>juillet 2026</vt:lpstr>
      <vt:lpstr>Aout2026</vt:lpstr>
      <vt:lpstr>Septembre 2026</vt:lpstr>
      <vt:lpstr>'Septembre 2026'!Impression_des_titres</vt:lpstr>
      <vt:lpstr>'Septembre 2026'!Zone_d_impression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USER_07</cp:lastModifiedBy>
  <cp:revision>0</cp:revision>
  <cp:lastPrinted>2026-08-31T16:24:19Z</cp:lastPrinted>
  <dcterms:created xsi:type="dcterms:W3CDTF">2026-05-07T10:52:56Z</dcterms:created>
  <dcterms:modified xsi:type="dcterms:W3CDTF">2026-09-12T06:07:27Z</dcterms:modified>
  <dc:language>en-US</dc:language>
</cp:coreProperties>
</file>